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830"/>
  <workbookPr filterPrivacy="1"/>
  <xr:revisionPtr revIDLastSave="0" documentId="14_{594A2F75-A3A7-41B5-BD4F-026A38B62912}" xr6:coauthVersionLast="47" xr6:coauthVersionMax="47" xr10:uidLastSave="{00000000-0000-0000-0000-000000000000}"/>
  <bookViews>
    <workbookView xWindow="-110" yWindow="-110" windowWidth="19420" windowHeight="11500" xr2:uid="{00000000-000D-0000-FFFF-FFFF00000000}"/>
  </bookViews>
  <sheets>
    <sheet name="ＷＡＹ面談シート" sheetId="6" r:id="rId1"/>
    <sheet name="メンバ属性" sheetId="1" r:id="rId2"/>
    <sheet name="属性" sheetId="2" r:id="rId3"/>
    <sheet name="Sheet4" sheetId="3" r:id="rId4"/>
  </sheets>
  <definedNames>
    <definedName name="_xlnm.Print_Area" localSheetId="0">ＷＡＹ面談シート!$A$1:$BA$37</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5" i="6" l="1"/>
  <c r="F33" i="6"/>
  <c r="F31" i="6"/>
  <c r="F29" i="6"/>
  <c r="AL27" i="6"/>
  <c r="S27" i="6"/>
  <c r="F27" i="6"/>
  <c r="AM20" i="6"/>
  <c r="X20" i="6"/>
  <c r="I20" i="6"/>
  <c r="AM14" i="6"/>
  <c r="X14" i="6"/>
  <c r="I14" i="6"/>
  <c r="AM8" i="6"/>
  <c r="X8" i="6"/>
  <c r="I8" i="6"/>
  <c r="AX4" i="6"/>
  <c r="AP4" i="6"/>
  <c r="AA4" i="6"/>
  <c r="E4" i="6"/>
  <c r="AP3" i="6"/>
  <c r="AA3" i="6"/>
  <c r="E3" i="6"/>
</calcChain>
</file>

<file path=xl/sharedStrings.xml><?xml version="1.0" encoding="utf-8"?>
<sst xmlns="http://schemas.openxmlformats.org/spreadsheetml/2006/main" count="64" uniqueCount="60">
  <si>
    <t>所属</t>
    <rPh sb="0" eb="2">
      <t>ショゾク</t>
    </rPh>
    <phoneticPr fontId="2"/>
  </si>
  <si>
    <t>氏名</t>
    <rPh sb="0" eb="2">
      <t>シメイ</t>
    </rPh>
    <phoneticPr fontId="2"/>
  </si>
  <si>
    <t>職名</t>
    <rPh sb="0" eb="2">
      <t>ショクメイ</t>
    </rPh>
    <phoneticPr fontId="2"/>
  </si>
  <si>
    <t>職員番号</t>
    <rPh sb="0" eb="2">
      <t>ショクイン</t>
    </rPh>
    <rPh sb="2" eb="4">
      <t>バンゴウ</t>
    </rPh>
    <phoneticPr fontId="2"/>
  </si>
  <si>
    <t>職種</t>
    <rPh sb="0" eb="2">
      <t>ショクシュ</t>
    </rPh>
    <phoneticPr fontId="2"/>
  </si>
  <si>
    <t>級</t>
    <rPh sb="0" eb="1">
      <t>キュウ</t>
    </rPh>
    <phoneticPr fontId="2"/>
  </si>
  <si>
    <t>ＷＡＹ面談シート</t>
    <rPh sb="3" eb="5">
      <t>メンダン</t>
    </rPh>
    <phoneticPr fontId="2"/>
  </si>
  <si>
    <t>(期中)</t>
    <rPh sb="1" eb="3">
      <t>キチュウ</t>
    </rPh>
    <phoneticPr fontId="2"/>
  </si>
  <si>
    <t>(期末)</t>
    <rPh sb="1" eb="3">
      <t>キマツ</t>
    </rPh>
    <phoneticPr fontId="2"/>
  </si>
  <si>
    <t>1
【チャレンジ目標】</t>
    <rPh sb="8" eb="10">
      <t>モクヒョウ</t>
    </rPh>
    <phoneticPr fontId="2"/>
  </si>
  <si>
    <r>
      <t>2
【</t>
    </r>
    <r>
      <rPr>
        <sz val="6"/>
        <color theme="1"/>
        <rFont val="BIZ UDゴシック"/>
        <family val="3"/>
      </rPr>
      <t>管理監督職は</t>
    </r>
    <r>
      <rPr>
        <sz val="12"/>
        <color theme="1"/>
        <rFont val="BIZ UDゴシック"/>
        <family val="3"/>
      </rPr>
      <t>マネジメント目標】</t>
    </r>
    <rPh sb="3" eb="5">
      <t>カンリ</t>
    </rPh>
    <rPh sb="5" eb="8">
      <t>カントクショク</t>
    </rPh>
    <rPh sb="15" eb="17">
      <t>モクヒョウ</t>
    </rPh>
    <phoneticPr fontId="2"/>
  </si>
  <si>
    <t>県民本位</t>
    <rPh sb="0" eb="2">
      <t>ケンミン</t>
    </rPh>
    <rPh sb="2" eb="4">
      <t>ホンイ</t>
    </rPh>
    <phoneticPr fontId="2"/>
  </si>
  <si>
    <t>ダイバーシティ＆
インクルージョン</t>
  </si>
  <si>
    <t>ネットワーク</t>
  </si>
  <si>
    <t>成長</t>
    <rPh sb="0" eb="2">
      <t>セイチョウ</t>
    </rPh>
    <phoneticPr fontId="2"/>
  </si>
  <si>
    <t>具体的な
行動目標</t>
    <rPh sb="0" eb="3">
      <t>グタイテキ</t>
    </rPh>
    <rPh sb="5" eb="7">
      <t>コウドウ</t>
    </rPh>
    <rPh sb="7" eb="9">
      <t>モクヒョウ</t>
    </rPh>
    <phoneticPr fontId="2"/>
  </si>
  <si>
    <t>伸ばしたいスキル、将来やりたい仕事、理想の働き方等</t>
    <rPh sb="0" eb="1">
      <t>ノ</t>
    </rPh>
    <rPh sb="9" eb="11">
      <t>ショウライ</t>
    </rPh>
    <rPh sb="15" eb="17">
      <t>シゴト</t>
    </rPh>
    <rPh sb="18" eb="20">
      <t>リソウ</t>
    </rPh>
    <rPh sb="21" eb="22">
      <t>ハタラ</t>
    </rPh>
    <rPh sb="23" eb="24">
      <t>カタ</t>
    </rPh>
    <rPh sb="24" eb="25">
      <t>トウ</t>
    </rPh>
    <phoneticPr fontId="2"/>
  </si>
  <si>
    <r>
      <t xml:space="preserve">ＷＡＹの実践に向け、重点的に取り組みたい価値観
</t>
    </r>
    <r>
      <rPr>
        <sz val="9"/>
        <color theme="1"/>
        <rFont val="BIZ UDゴシック"/>
        <family val="3"/>
      </rPr>
      <t>(複数選択可)</t>
    </r>
    <rPh sb="10" eb="12">
      <t>ジュウテン</t>
    </rPh>
    <rPh sb="12" eb="13">
      <t>テキ</t>
    </rPh>
    <rPh sb="14" eb="15">
      <t>ト</t>
    </rPh>
    <rPh sb="16" eb="17">
      <t>ク</t>
    </rPh>
    <rPh sb="20" eb="23">
      <t>カチカン</t>
    </rPh>
    <rPh sb="25" eb="27">
      <t>フクスウ</t>
    </rPh>
    <rPh sb="27" eb="29">
      <t>センタク</t>
    </rPh>
    <rPh sb="29" eb="30">
      <t>カ</t>
    </rPh>
    <phoneticPr fontId="2"/>
  </si>
  <si>
    <r>
      <t xml:space="preserve">進捗状況
</t>
    </r>
    <r>
      <rPr>
        <sz val="10"/>
        <color theme="1"/>
        <rFont val="BIZ UDゴシック"/>
        <family val="3"/>
      </rPr>
      <t>(自己評価)</t>
    </r>
    <rPh sb="0" eb="2">
      <t>シンチョク</t>
    </rPh>
    <rPh sb="2" eb="4">
      <t>ジョウキョウ</t>
    </rPh>
    <rPh sb="6" eb="8">
      <t>ジコ</t>
    </rPh>
    <rPh sb="8" eb="10">
      <t>ヒョウカ</t>
    </rPh>
    <phoneticPr fontId="2"/>
  </si>
  <si>
    <r>
      <t xml:space="preserve">業務目標
（期初）
</t>
    </r>
    <r>
      <rPr>
        <sz val="10"/>
        <rFont val="BIZ UDゴシック"/>
        <family val="3"/>
      </rPr>
      <t>100文字以内</t>
    </r>
    <rPh sb="0" eb="2">
      <t>ギョウム</t>
    </rPh>
    <rPh sb="2" eb="4">
      <t>モクヒョウ</t>
    </rPh>
    <rPh sb="6" eb="8">
      <t>キショ</t>
    </rPh>
    <rPh sb="13" eb="15">
      <t>モジ</t>
    </rPh>
    <rPh sb="15" eb="17">
      <t>イナイ</t>
    </rPh>
    <phoneticPr fontId="2"/>
  </si>
  <si>
    <t>[組織]組織</t>
  </si>
  <si>
    <t>[メンバ]職種</t>
  </si>
  <si>
    <t>[計算属性]役職名（最新）</t>
  </si>
  <si>
    <t>[メンバ]氏名</t>
  </si>
  <si>
    <t>[メンバ]職員CD</t>
  </si>
  <si>
    <t>[メンバ]表</t>
  </si>
  <si>
    <t>[メンバ]級</t>
  </si>
  <si>
    <t>(参照できない属性)</t>
  </si>
  <si>
    <t>生成AI活用による業務改善を先導実践。WindsurfやGoogle AI Studioでﾎﾟﾓﾄﾞｰﾛﾀｲﾏｰを自作し課員に提供、職員の生産性向上に貢献。県推奨のkintoneを超越したﾊﾞｲﾌﾞｺｰﾃﾞｨﾝｸﾞ環境の必要性をAI研修で提言。ﾃﾞｼﾞﾀﾙ改革課の伴走支援事業への参画を建設業課長・土地調整官に働きかけ、予算要求への道筋を構築。</t>
  </si>
  <si>
    <t>新規施策の立案と調整
　前例のない業務改善施策（デジタルツールの導入や庁内手続の省力化など）について、自ら調査・提案。関係者との合意形成を図る。実現可能な落としどころを探り、粘り強く実行に移す。</t>
  </si>
  <si>
    <t>本庁の副課長及びこれに準する者</t>
  </si>
  <si>
    <t>[ミッション]対象シート</t>
  </si>
  <si>
    <t>[ミッション]チャレンジ目標（期初）</t>
  </si>
  <si>
    <t>[ミッション]進捗状況①（期中）</t>
  </si>
  <si>
    <t>[ミッション]進捗状況①（期末）</t>
  </si>
  <si>
    <t>[ミッション]その他の目標（期初）　※管理・監督職はマネジメント目標）</t>
  </si>
  <si>
    <t>[ミッション]進捗状況②（期中）</t>
  </si>
  <si>
    <t>[ミッション]進捗状況②（期末）</t>
  </si>
  <si>
    <t>[ミッション]その他の目標（期初）</t>
  </si>
  <si>
    <t>[ミッション]進捗状況③（期中）</t>
  </si>
  <si>
    <t>[ミッション]進捗状況③（期末）</t>
  </si>
  <si>
    <t>[ミッション]WAYの実践に向け、重点的に取り組みたい価値観（複数選択可）</t>
  </si>
  <si>
    <t>[ミッション]具体的な行動目標</t>
  </si>
  <si>
    <t>[ミッション]伸ばしたいスキル、将来やりたい仕事、理想の働き方等</t>
  </si>
  <si>
    <t>.</t>
  </si>
  <si>
    <t>リ・チャレンジ</t>
  </si>
  <si>
    <t>東播磨県民局 / 加古川土木事務所</t>
  </si>
  <si>
    <t>総合</t>
  </si>
  <si>
    <t>東播磨県民局加古川土木事務所所長補佐兼建設業課長</t>
  </si>
  <si>
    <t>栗田　直樹</t>
  </si>
  <si>
    <t>90106</t>
  </si>
  <si>
    <t>1</t>
  </si>
  <si>
    <t>6</t>
  </si>
  <si>
    <t>業務の効率化と質の向上
　業務の洗い出しと見直しを行い、重要度の低い業務の廃止・集約を提案・実施。担当者の負担軽減と質の高い業務への集中を実現。共有ナレッジの整備を進める。</t>
  </si>
  <si>
    <t>ｼｽﾃﾑ運用の抜本見直しを実行。非効率な住基ﾈｯﾄPC返還により業務負担を削減、登記情報連携ｼｽﾃﾑ導入で証明書添付省略を具現。HYOGOｺﾐｭﾆｹｰｼｮﾝﾎﾟﾘｼｰを率先垂範し、Teams一元化による内線電話抑止を推進。各層別ﾁｬﾝﾈﾙを特設し暗黙知の可視化を実現。共有ﾅﾚｯｼﾞの体系的拡張を図り、組織全体の生産性向上に寄与。</t>
  </si>
  <si>
    <t>後進育成とナレッジの共有
　これまでの経験・知見を活かし若手職員の業務支援と育成に取組む。特に「なぜこの仕事が必要か」「どうすれば効率的にできるか」といった本質的な問いかけを通じて思考の深掘りを促す。</t>
  </si>
  <si>
    <t>藻谷浩介氏との対話から得たWHAT(何が起こっているか)重視の問いかけ手法を後進育成に導入。生成AI活用による対話の質向上を図り本質的思考の深掘りを促進。多忙な業務環境下でもﾎﾜｲﾄ･ｽﾍﾟｰｽ確保に努め職員との継続的な対話機会を創出。経験知の体系的伝承と自律的思考力育成の両立を実践。</t>
  </si>
  <si>
    <t>リ・チャレンジ, 成長</t>
  </si>
  <si>
    <t>・定例業務のスケジューリングを徹底し、突発業務への対応余力を常に確保する。
・自ら資料を読み込み、上司や関係者に「先回り」した提案・対応を行う。
・若手・同僚との意見交換を行い、現場の課題を掘り起こし、改善策に反映。
・煩雑な業務を効率化するための工夫を提案・導入する。</t>
  </si>
  <si>
    <t>〈伸ばしたいスキル〉合意形成や意見集約の場面で求められる思考と対話の技術を強化したい。自分の意見を単なる主張で終わらせず、納得感を持って受け入れてもらえる力を磨く。
〈将来やりたい仕事〉制度や業務プロセスの抜本的な見直しを行い、「見えないムダ」や「やらなくてよい仕事」を可視化し、組織の生産性向上に寄与したい。若手職員のキャリア支援や育成にも携わり、「頑張ることが楽しい」と思える職場づくりに貢献したい。
〈理想の働き方〉自ら課題を設定し、答えを探る姿勢を忘れず、「面倒くさい」に挑む気持ちを持ち続けたい。最小の努力で最大の効果を生む「良いモノグサ」であり続けるために、努力の方向と質にこだわる働き方を目指す。</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</si>
</sst>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176" formatCode="00000"/>
  </numFmts>
  <fonts count="14">
    <font>
      <sz val="11"/>
      <color theme="1"/>
      <name val="Yu Gothic"/>
      <family val="2"/>
      <scheme val="minor"/>
    </font>
    <font>
      <sz val="10"/>
      <name val="Arial"/>
      <family val="2"/>
    </font>
    <font>
      <sz val="6"/>
      <name val="Yu Gothic"/>
      <family val="3"/>
      <scheme val="minor"/>
    </font>
    <font>
      <sz val="11"/>
      <color theme="1"/>
      <name val="BIZ UDゴシック"/>
      <family val="3"/>
    </font>
    <font>
      <sz val="10"/>
      <color theme="1"/>
      <name val="BIZ UDゴシック"/>
      <family val="3"/>
    </font>
    <font>
      <sz val="8"/>
      <color theme="1"/>
      <name val="BIZ UDゴシック"/>
      <family val="3"/>
    </font>
    <font>
      <sz val="6"/>
      <color theme="1"/>
      <name val="BIZ UDゴシック"/>
      <family val="3"/>
    </font>
    <font>
      <sz val="12"/>
      <color theme="1"/>
      <name val="BIZ UDゴシック"/>
      <family val="3"/>
    </font>
    <font>
      <sz val="16"/>
      <color theme="1"/>
      <name val="BIZ UDゴシック"/>
      <family val="3"/>
    </font>
    <font>
      <sz val="9"/>
      <color theme="1"/>
      <name val="BIZ UDゴシック"/>
      <family val="3"/>
    </font>
    <font>
      <sz val="10"/>
      <name val="BIZ UDゴシック"/>
      <family val="3"/>
    </font>
    <font>
      <sz val="10"/>
      <color rgb="FFFFFFFF"/>
      <name val="Arial"/>
      <family val="2"/>
    </font>
    <font>
      <sz val="11"/>
      <color theme="1"/>
      <name val="Yu Gothic"/>
      <family val="2"/>
      <scheme val="minor"/>
    </font>
    <font>
      <sz val="6"/>
      <name val="Yu Gothic"/>
      <family val="3"/>
      <charset val="128"/>
      <scheme val="minor"/>
    </font>
  </fonts>
  <fills count="4">
    <fill>
      <patternFill patternType="none"/>
    </fill>
    <fill>
      <patternFill patternType="gray125"/>
    </fill>
    <fill>
      <patternFill patternType="solid">
        <fgColor rgb="FFDEF0F2"/>
        <bgColor indexed="64"/>
      </patternFill>
    </fill>
    <fill>
      <patternFill patternType="solid">
        <fgColor rgb="FFA6AFB8"/>
        <bgColor indexed="64"/>
      </patternFill>
    </fill>
  </fills>
  <borders count="27">
    <border>
      <left/>
      <right/>
      <top/>
      <bottom/>
      <diagonal/>
    </border>
    <border>
      <left style="medium">
        <color auto="1"/>
      </left>
      <right style="thin">
        <color auto="1"/>
      </right>
      <top style="thin">
        <color auto="1"/>
      </top>
      <bottom style="thin">
        <color auto="1"/>
      </bottom>
      <diagonal/>
    </border>
    <border>
      <left style="thin">
        <color auto="1"/>
      </left>
      <right style="thin">
        <color auto="1"/>
      </right>
      <top style="medium">
        <color auto="1"/>
      </top>
      <bottom style="thin">
        <color auto="1"/>
      </bottom>
      <diagonal/>
    </border>
    <border>
      <left style="medium">
        <color auto="1"/>
      </left>
      <right style="thin">
        <color auto="1"/>
      </right>
      <top style="medium">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top/>
      <bottom style="thin">
        <color auto="1"/>
      </bottom>
      <diagonal/>
    </border>
    <border>
      <left/>
      <right style="thin">
        <color auto="1"/>
      </right>
      <top/>
      <bottom style="thin">
        <color auto="1"/>
      </bottom>
      <diagonal/>
    </border>
    <border>
      <left style="medium">
        <color auto="1"/>
      </left>
      <right style="thin">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n">
        <color auto="1"/>
      </left>
      <right style="medium">
        <color auto="1"/>
      </right>
      <top style="thin">
        <color auto="1"/>
      </top>
      <bottom style="thin">
        <color auto="1"/>
      </bottom>
      <diagonal/>
    </border>
    <border>
      <left style="thin">
        <color auto="1"/>
      </left>
      <right style="medium">
        <color auto="1"/>
      </right>
      <top style="thin">
        <color auto="1"/>
      </top>
      <bottom style="medium">
        <color auto="1"/>
      </bottom>
      <diagonal/>
    </border>
    <border>
      <left style="thin">
        <color auto="1"/>
      </left>
      <right style="medium">
        <color auto="1"/>
      </right>
      <top style="medium">
        <color auto="1"/>
      </top>
      <bottom style="thin">
        <color auto="1"/>
      </bottom>
      <diagonal/>
    </border>
    <border>
      <left style="medium">
        <color auto="1"/>
      </left>
      <right/>
      <top style="medium">
        <color auto="1"/>
      </top>
      <bottom/>
      <diagonal/>
    </border>
    <border>
      <left/>
      <right/>
      <top style="medium">
        <color auto="1"/>
      </top>
      <bottom/>
      <diagonal/>
    </border>
    <border>
      <left/>
      <right style="thin">
        <color auto="1"/>
      </right>
      <top style="medium">
        <color auto="1"/>
      </top>
      <bottom/>
      <diagonal/>
    </border>
    <border>
      <left style="medium">
        <color auto="1"/>
      </left>
      <right/>
      <top/>
      <bottom/>
      <diagonal/>
    </border>
    <border>
      <left/>
      <right style="thin">
        <color auto="1"/>
      </right>
      <top/>
      <bottom/>
      <diagonal/>
    </border>
    <border>
      <left style="medium">
        <color auto="1"/>
      </left>
      <right/>
      <top/>
      <bottom style="medium">
        <color auto="1"/>
      </bottom>
      <diagonal/>
    </border>
    <border>
      <left/>
      <right/>
      <top/>
      <bottom style="medium">
        <color auto="1"/>
      </bottom>
      <diagonal/>
    </border>
    <border>
      <left/>
      <right style="thin">
        <color auto="1"/>
      </right>
      <top/>
      <bottom style="medium">
        <color auto="1"/>
      </bottom>
      <diagonal/>
    </border>
    <border>
      <left style="thin">
        <color auto="1"/>
      </left>
      <right/>
      <top style="medium">
        <color auto="1"/>
      </top>
      <bottom/>
      <diagonal/>
    </border>
    <border>
      <left style="thin">
        <color auto="1"/>
      </left>
      <right/>
      <top/>
      <bottom/>
      <diagonal/>
    </border>
    <border>
      <left style="thin">
        <color auto="1"/>
      </left>
      <right/>
      <top/>
      <bottom style="medium">
        <color auto="1"/>
      </bottom>
      <diagonal/>
    </border>
    <border>
      <left/>
      <right style="medium">
        <color auto="1"/>
      </right>
      <top style="medium">
        <color auto="1"/>
      </top>
      <bottom/>
      <diagonal/>
    </border>
    <border>
      <left/>
      <right style="medium">
        <color auto="1"/>
      </right>
      <top/>
      <bottom/>
      <diagonal/>
    </border>
    <border>
      <left/>
      <right style="medium">
        <color auto="1"/>
      </right>
      <top/>
      <bottom style="medium">
        <color auto="1"/>
      </bottom>
      <diagonal/>
    </border>
  </borders>
  <cellStyleXfs count="7">
    <xf numFmtId="0" fontId="0" fillId="0" borderId="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12" fillId="0" borderId="0"/>
  </cellStyleXfs>
  <cellXfs count="67">
    <xf numFmtId="0" fontId="0" fillId="0" borderId="0" xfId="0"/>
    <xf numFmtId="0" fontId="7" fillId="0" borderId="2" xfId="6" applyFont="1" applyBorder="1" applyAlignment="1">
      <alignment horizontal="distributed" vertical="center"/>
    </xf>
    <xf numFmtId="0" fontId="7" fillId="0" borderId="9" xfId="6" applyFont="1" applyBorder="1" applyAlignment="1">
      <alignment horizontal="center" vertical="center"/>
    </xf>
    <xf numFmtId="0" fontId="7" fillId="0" borderId="5" xfId="6" applyFont="1" applyBorder="1" applyAlignment="1">
      <alignment horizontal="center" vertical="center"/>
    </xf>
    <xf numFmtId="0" fontId="7" fillId="0" borderId="2" xfId="6" applyFont="1" applyBorder="1" applyAlignment="1">
      <alignment horizontal="center" vertical="center"/>
    </xf>
    <xf numFmtId="0" fontId="3" fillId="2" borderId="20" xfId="6" applyFont="1" applyFill="1" applyBorder="1" applyAlignment="1">
      <alignment horizontal="center" vertical="center" wrapText="1"/>
    </xf>
    <xf numFmtId="0" fontId="3" fillId="2" borderId="19" xfId="6" applyFont="1" applyFill="1" applyBorder="1" applyAlignment="1">
      <alignment horizontal="center" vertical="center" wrapText="1"/>
    </xf>
    <xf numFmtId="0" fontId="3" fillId="2" borderId="18" xfId="6" applyFont="1" applyFill="1" applyBorder="1" applyAlignment="1">
      <alignment horizontal="center" vertical="center" wrapText="1"/>
    </xf>
    <xf numFmtId="0" fontId="3" fillId="2" borderId="17" xfId="6" applyFont="1" applyFill="1" applyBorder="1" applyAlignment="1">
      <alignment horizontal="center" vertical="center" wrapText="1"/>
    </xf>
    <xf numFmtId="0" fontId="3" fillId="2" borderId="0" xfId="6" applyFont="1" applyFill="1" applyAlignment="1">
      <alignment horizontal="center" vertical="center" wrapText="1"/>
    </xf>
    <xf numFmtId="0" fontId="3" fillId="2" borderId="16" xfId="6" applyFont="1" applyFill="1" applyBorder="1" applyAlignment="1">
      <alignment horizontal="center" vertical="center" wrapText="1"/>
    </xf>
    <xf numFmtId="0" fontId="3" fillId="2" borderId="15" xfId="6" applyFont="1" applyFill="1" applyBorder="1" applyAlignment="1">
      <alignment horizontal="center" vertical="center" wrapText="1"/>
    </xf>
    <xf numFmtId="0" fontId="3" fillId="2" borderId="14" xfId="6" applyFont="1" applyFill="1" applyBorder="1" applyAlignment="1">
      <alignment horizontal="center" vertical="center" wrapText="1"/>
    </xf>
    <xf numFmtId="0" fontId="3" fillId="2" borderId="13" xfId="6" applyFont="1" applyFill="1" applyBorder="1" applyAlignment="1">
      <alignment horizontal="center" vertical="center" wrapText="1"/>
    </xf>
    <xf numFmtId="0" fontId="3" fillId="0" borderId="0" xfId="6" applyFont="1" applyAlignment="1">
      <alignment vertical="center" wrapText="1"/>
    </xf>
    <xf numFmtId="0" fontId="3" fillId="0" borderId="7" xfId="6" applyFont="1" applyBorder="1" applyAlignment="1">
      <alignment vertical="center"/>
    </xf>
    <xf numFmtId="0" fontId="6" fillId="0" borderId="0" xfId="6" applyFont="1" applyAlignment="1">
      <alignment vertical="center"/>
    </xf>
    <xf numFmtId="0" fontId="3" fillId="0" borderId="0" xfId="6" applyFont="1" applyAlignment="1">
      <alignment vertical="center"/>
    </xf>
    <xf numFmtId="0" fontId="5" fillId="0" borderId="0" xfId="6" applyFont="1" applyAlignment="1">
      <alignment vertical="center" wrapText="1"/>
    </xf>
    <xf numFmtId="0" fontId="11" fillId="3" borderId="5" xfId="6" applyFont="1" applyFill="1" applyBorder="1"/>
    <xf numFmtId="0" fontId="0" fillId="0" borderId="5" xfId="6" applyFont="1" applyBorder="1"/>
    <xf numFmtId="0" fontId="7" fillId="0" borderId="5" xfId="6" applyFont="1" applyBorder="1" applyAlignment="1">
      <alignment horizontal="distributed" vertical="center"/>
    </xf>
    <xf numFmtId="0" fontId="7" fillId="0" borderId="5" xfId="6" applyFont="1" applyBorder="1" applyAlignment="1">
      <alignment horizontal="distributed" vertical="center" wrapText="1"/>
    </xf>
    <xf numFmtId="0" fontId="7" fillId="0" borderId="9" xfId="6" applyFont="1" applyBorder="1" applyAlignment="1">
      <alignment horizontal="distributed" vertical="center"/>
    </xf>
    <xf numFmtId="0" fontId="3" fillId="0" borderId="21" xfId="6" applyFont="1" applyBorder="1" applyAlignment="1">
      <alignment horizontal="left" vertical="top" wrapText="1"/>
    </xf>
    <xf numFmtId="0" fontId="3" fillId="0" borderId="14" xfId="6" applyFont="1" applyBorder="1" applyAlignment="1">
      <alignment horizontal="left" vertical="top" wrapText="1"/>
    </xf>
    <xf numFmtId="0" fontId="3" fillId="0" borderId="22" xfId="6" applyFont="1" applyBorder="1" applyAlignment="1">
      <alignment horizontal="left" vertical="top" wrapText="1"/>
    </xf>
    <xf numFmtId="0" fontId="3" fillId="0" borderId="0" xfId="6" applyFont="1" applyAlignment="1">
      <alignment horizontal="left" vertical="top" wrapText="1"/>
    </xf>
    <xf numFmtId="0" fontId="3" fillId="0" borderId="23" xfId="6" applyFont="1" applyBorder="1" applyAlignment="1">
      <alignment horizontal="left" vertical="top" wrapText="1"/>
    </xf>
    <xf numFmtId="0" fontId="3" fillId="0" borderId="19" xfId="6" applyFont="1" applyBorder="1" applyAlignment="1">
      <alignment horizontal="left" vertical="top" wrapText="1"/>
    </xf>
    <xf numFmtId="0" fontId="7" fillId="2" borderId="2" xfId="6" applyFont="1" applyFill="1" applyBorder="1" applyAlignment="1">
      <alignment horizontal="center" vertical="center" wrapText="1"/>
    </xf>
    <xf numFmtId="0" fontId="7" fillId="2" borderId="5" xfId="6" applyFont="1" applyFill="1" applyBorder="1" applyAlignment="1">
      <alignment horizontal="center" vertical="center" wrapText="1"/>
    </xf>
    <xf numFmtId="0" fontId="3" fillId="0" borderId="5" xfId="6" applyFont="1" applyBorder="1" applyAlignment="1">
      <alignment horizontal="left" vertical="top" wrapText="1"/>
    </xf>
    <xf numFmtId="0" fontId="3" fillId="0" borderId="10" xfId="6" applyFont="1" applyBorder="1" applyAlignment="1">
      <alignment horizontal="left" vertical="top" wrapText="1"/>
    </xf>
    <xf numFmtId="0" fontId="7" fillId="2" borderId="12" xfId="6" applyFont="1" applyFill="1" applyBorder="1" applyAlignment="1">
      <alignment horizontal="center" vertical="center" wrapText="1"/>
    </xf>
    <xf numFmtId="0" fontId="7" fillId="2" borderId="10" xfId="6" applyFont="1" applyFill="1" applyBorder="1" applyAlignment="1">
      <alignment horizontal="center" vertical="center" wrapText="1"/>
    </xf>
    <xf numFmtId="0" fontId="7" fillId="2" borderId="1" xfId="6" applyFont="1" applyFill="1" applyBorder="1" applyAlignment="1">
      <alignment horizontal="center" vertical="center" wrapText="1"/>
    </xf>
    <xf numFmtId="0" fontId="7" fillId="2" borderId="5" xfId="6" applyFont="1" applyFill="1" applyBorder="1" applyAlignment="1">
      <alignment horizontal="center" vertical="center"/>
    </xf>
    <xf numFmtId="0" fontId="7" fillId="2" borderId="1" xfId="6" applyFont="1" applyFill="1" applyBorder="1" applyAlignment="1">
      <alignment horizontal="center" vertical="center"/>
    </xf>
    <xf numFmtId="0" fontId="7" fillId="2" borderId="8" xfId="6" applyFont="1" applyFill="1" applyBorder="1" applyAlignment="1">
      <alignment horizontal="center" vertical="center"/>
    </xf>
    <xf numFmtId="0" fontId="7" fillId="2" borderId="9" xfId="6" applyFont="1" applyFill="1" applyBorder="1" applyAlignment="1">
      <alignment horizontal="center" vertical="center"/>
    </xf>
    <xf numFmtId="0" fontId="7" fillId="2" borderId="9" xfId="6" applyFont="1" applyFill="1" applyBorder="1" applyAlignment="1">
      <alignment horizontal="center" vertical="center" wrapText="1"/>
    </xf>
    <xf numFmtId="0" fontId="3" fillId="0" borderId="9" xfId="6" applyFont="1" applyBorder="1" applyAlignment="1">
      <alignment horizontal="left" vertical="top" wrapText="1"/>
    </xf>
    <xf numFmtId="0" fontId="3" fillId="0" borderId="11" xfId="6" applyFont="1" applyBorder="1" applyAlignment="1">
      <alignment horizontal="left" vertical="top" wrapText="1"/>
    </xf>
    <xf numFmtId="0" fontId="3" fillId="0" borderId="7" xfId="6" applyFont="1" applyBorder="1" applyAlignment="1">
      <alignment vertical="center"/>
    </xf>
    <xf numFmtId="0" fontId="3" fillId="0" borderId="6" xfId="6" applyFont="1" applyBorder="1" applyAlignment="1">
      <alignment vertical="center"/>
    </xf>
    <xf numFmtId="0" fontId="8" fillId="0" borderId="0" xfId="6" applyFont="1" applyAlignment="1">
      <alignment horizontal="center" vertical="center"/>
    </xf>
    <xf numFmtId="176" fontId="3" fillId="0" borderId="5" xfId="6" applyNumberFormat="1" applyFont="1" applyBorder="1" applyAlignment="1">
      <alignment horizontal="center" vertical="center" shrinkToFit="1"/>
    </xf>
    <xf numFmtId="0" fontId="3" fillId="0" borderId="5" xfId="6" applyFont="1" applyBorder="1" applyAlignment="1">
      <alignment horizontal="center" vertical="center" shrinkToFit="1"/>
    </xf>
    <xf numFmtId="0" fontId="3" fillId="2" borderId="4" xfId="6" applyFont="1" applyFill="1" applyBorder="1" applyAlignment="1">
      <alignment horizontal="center" vertical="center"/>
    </xf>
    <xf numFmtId="0" fontId="3" fillId="2" borderId="5" xfId="6" applyFont="1" applyFill="1" applyBorder="1" applyAlignment="1">
      <alignment horizontal="center" vertical="center"/>
    </xf>
    <xf numFmtId="0" fontId="4" fillId="2" borderId="5" xfId="6" applyFont="1" applyFill="1" applyBorder="1" applyAlignment="1">
      <alignment horizontal="center" vertical="center"/>
    </xf>
    <xf numFmtId="0" fontId="4" fillId="2" borderId="4" xfId="6" applyFont="1" applyFill="1" applyBorder="1" applyAlignment="1">
      <alignment horizontal="center" vertical="center"/>
    </xf>
    <xf numFmtId="0" fontId="3" fillId="2" borderId="3" xfId="6" applyFont="1" applyFill="1" applyBorder="1" applyAlignment="1">
      <alignment horizontal="center" vertical="center"/>
    </xf>
    <xf numFmtId="0" fontId="3" fillId="2" borderId="2" xfId="6" applyFont="1" applyFill="1" applyBorder="1" applyAlignment="1">
      <alignment horizontal="center" vertical="center"/>
    </xf>
    <xf numFmtId="0" fontId="3" fillId="2" borderId="1" xfId="6" applyFont="1" applyFill="1" applyBorder="1" applyAlignment="1">
      <alignment horizontal="center" vertical="center"/>
    </xf>
    <xf numFmtId="0" fontId="4" fillId="0" borderId="5" xfId="6" applyFont="1" applyBorder="1" applyAlignment="1">
      <alignment horizontal="left" vertical="top" wrapText="1"/>
    </xf>
    <xf numFmtId="0" fontId="4" fillId="0" borderId="10" xfId="6" applyFont="1" applyBorder="1" applyAlignment="1">
      <alignment horizontal="left" vertical="top" wrapText="1"/>
    </xf>
    <xf numFmtId="0" fontId="9" fillId="0" borderId="21" xfId="6" applyFont="1" applyBorder="1" applyAlignment="1">
      <alignment horizontal="left" vertical="top" wrapText="1"/>
    </xf>
    <xf numFmtId="0" fontId="9" fillId="0" borderId="14" xfId="6" applyFont="1" applyBorder="1" applyAlignment="1">
      <alignment horizontal="left" vertical="top" wrapText="1"/>
    </xf>
    <xf numFmtId="0" fontId="9" fillId="0" borderId="24" xfId="6" applyFont="1" applyBorder="1" applyAlignment="1">
      <alignment horizontal="left" vertical="top" wrapText="1"/>
    </xf>
    <xf numFmtId="0" fontId="9" fillId="0" borderId="22" xfId="6" applyFont="1" applyBorder="1" applyAlignment="1">
      <alignment horizontal="left" vertical="top" wrapText="1"/>
    </xf>
    <xf numFmtId="0" fontId="9" fillId="0" borderId="0" xfId="6" applyFont="1" applyAlignment="1">
      <alignment horizontal="left" vertical="top" wrapText="1"/>
    </xf>
    <xf numFmtId="0" fontId="9" fillId="0" borderId="25" xfId="6" applyFont="1" applyBorder="1" applyAlignment="1">
      <alignment horizontal="left" vertical="top" wrapText="1"/>
    </xf>
    <xf numFmtId="0" fontId="9" fillId="0" borderId="23" xfId="6" applyFont="1" applyBorder="1" applyAlignment="1">
      <alignment horizontal="left" vertical="top" wrapText="1"/>
    </xf>
    <xf numFmtId="0" fontId="9" fillId="0" borderId="19" xfId="6" applyFont="1" applyBorder="1" applyAlignment="1">
      <alignment horizontal="left" vertical="top" wrapText="1"/>
    </xf>
    <xf numFmtId="0" fontId="9" fillId="0" borderId="26" xfId="6" applyFont="1" applyBorder="1" applyAlignment="1">
      <alignment horizontal="left" vertical="top" wrapText="1"/>
    </xf>
  </cellXfs>
  <cellStyles count="7">
    <cellStyle name="Comma" xfId="4" xr:uid="{00000000-0005-0000-0000-000004000000}"/>
    <cellStyle name="Comma [0]" xfId="5" xr:uid="{00000000-0005-0000-0000-000005000000}"/>
    <cellStyle name="Currency" xfId="2" xr:uid="{00000000-0005-0000-0000-000002000000}"/>
    <cellStyle name="Currency [0]" xfId="3" xr:uid="{00000000-0005-0000-0000-000003000000}"/>
    <cellStyle name="Normal" xfId="6" xr:uid="{00000000-0005-0000-0000-000000000000}"/>
    <cellStyle name="Percent" xfId="1" xr:uid="{00000000-0005-0000-0000-000001000000}"/>
    <cellStyle name="標準"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58</xdr:col>
      <xdr:colOff>81642</xdr:colOff>
      <xdr:row>3</xdr:row>
      <xdr:rowOff>148076</xdr:rowOff>
    </xdr:from>
    <xdr:to>
      <xdr:col>88</xdr:col>
      <xdr:colOff>18124</xdr:colOff>
      <xdr:row>27</xdr:row>
      <xdr:rowOff>149500</xdr:rowOff>
    </xdr:to>
    <xdr:pic>
      <xdr:nvPicPr>
        <xdr:cNvPr id="16" name="図 15">
          <a:extLst>
            <a:ext uri="{FF2B5EF4-FFF2-40B4-BE49-F238E27FC236}">
              <a16:creationId xmlns:a16="http://schemas.microsoft.com/office/drawing/2014/main" id="{00000000-0008-0000-0000-00001000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34725" y="838200"/>
          <a:ext cx="5648325" cy="4619625"/>
        </a:xfrm>
        <a:prstGeom prst="rect">
          <a:avLst/>
        </a:prstGeom>
        <a:ln>
          <a:no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Yu Gothic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9CE39F-46DB-44EC-B934-AC24EDF38846}">
  <dimension ref="A1:AZ37"/>
  <sheetViews>
    <sheetView tabSelected="1" view="pageBreakPreview" topLeftCell="A11" zoomScaleSheetLayoutView="100" workbookViewId="0">
      <selection activeCell="AL27" sqref="AL27:AZ36"/>
    </sheetView>
  </sheetViews>
  <sheetFormatPr defaultColWidth="9" defaultRowHeight="15" customHeight="1"/>
  <cols>
    <col min="1" max="136" width="2.5" style="16" customWidth="1"/>
    <col min="137" max="16384" width="9" style="16"/>
  </cols>
  <sheetData>
    <row r="1" spans="1:52" ht="20.25" customHeight="1">
      <c r="A1" s="46" t="s">
        <v>6</v>
      </c>
      <c r="B1" s="46"/>
      <c r="C1" s="46"/>
      <c r="D1" s="46"/>
      <c r="E1" s="46"/>
      <c r="F1" s="46"/>
      <c r="G1" s="46"/>
      <c r="H1" s="46"/>
      <c r="I1" s="46"/>
      <c r="J1" s="46"/>
      <c r="K1" s="46"/>
      <c r="L1" s="46"/>
      <c r="M1" s="46"/>
      <c r="N1" s="46"/>
      <c r="O1" s="46"/>
      <c r="P1" s="46"/>
      <c r="Q1" s="46"/>
      <c r="R1" s="46"/>
      <c r="S1" s="46"/>
      <c r="T1" s="46"/>
      <c r="U1" s="46"/>
      <c r="V1" s="46"/>
      <c r="W1" s="46"/>
      <c r="X1" s="46"/>
      <c r="Y1" s="46"/>
      <c r="Z1" s="46"/>
      <c r="AA1" s="46"/>
      <c r="AB1" s="46"/>
      <c r="AC1" s="46"/>
      <c r="AD1" s="46"/>
      <c r="AE1" s="46"/>
      <c r="AF1" s="46"/>
      <c r="AG1" s="46"/>
      <c r="AH1" s="46"/>
      <c r="AI1" s="46"/>
      <c r="AJ1" s="46"/>
      <c r="AK1" s="46"/>
      <c r="AL1" s="46"/>
      <c r="AM1" s="46"/>
      <c r="AN1" s="46"/>
      <c r="AO1" s="46"/>
      <c r="AP1" s="46"/>
      <c r="AQ1" s="46"/>
      <c r="AR1" s="46"/>
      <c r="AS1" s="46"/>
      <c r="AT1" s="46"/>
      <c r="AU1" s="46"/>
      <c r="AV1" s="46"/>
      <c r="AW1" s="46"/>
      <c r="AX1" s="46"/>
      <c r="AY1" s="46"/>
      <c r="AZ1" s="46"/>
    </row>
    <row r="2" spans="1:52" ht="15" customHeight="1">
      <c r="A2" s="46"/>
      <c r="B2" s="46"/>
      <c r="C2" s="46"/>
      <c r="D2" s="46"/>
      <c r="E2" s="46"/>
      <c r="F2" s="46"/>
      <c r="G2" s="46"/>
      <c r="H2" s="46"/>
      <c r="I2" s="46"/>
      <c r="J2" s="46"/>
      <c r="K2" s="46"/>
      <c r="L2" s="46"/>
      <c r="M2" s="46"/>
      <c r="N2" s="46"/>
      <c r="O2" s="46"/>
      <c r="P2" s="46"/>
      <c r="Q2" s="46"/>
      <c r="R2" s="46"/>
      <c r="S2" s="46"/>
      <c r="T2" s="46"/>
      <c r="U2" s="46"/>
      <c r="V2" s="46"/>
      <c r="W2" s="46"/>
      <c r="X2" s="46"/>
      <c r="Y2" s="46"/>
      <c r="Z2" s="46"/>
      <c r="AA2" s="46"/>
      <c r="AB2" s="46"/>
      <c r="AC2" s="46"/>
      <c r="AD2" s="46"/>
      <c r="AE2" s="46"/>
      <c r="AF2" s="46"/>
      <c r="AG2" s="46"/>
      <c r="AH2" s="46"/>
      <c r="AI2" s="46"/>
      <c r="AJ2" s="46"/>
      <c r="AK2" s="46"/>
      <c r="AL2" s="46"/>
      <c r="AM2" s="46"/>
      <c r="AN2" s="46"/>
      <c r="AO2" s="46"/>
      <c r="AP2" s="46"/>
      <c r="AQ2" s="46"/>
      <c r="AR2" s="46"/>
      <c r="AS2" s="46"/>
      <c r="AT2" s="46"/>
      <c r="AU2" s="46"/>
      <c r="AV2" s="46"/>
      <c r="AW2" s="46"/>
      <c r="AX2" s="46"/>
      <c r="AY2" s="46"/>
      <c r="AZ2" s="46"/>
    </row>
    <row r="3" spans="1:52" ht="18.75" customHeight="1">
      <c r="A3" s="17"/>
      <c r="B3" s="51" t="s">
        <v>0</v>
      </c>
      <c r="C3" s="51"/>
      <c r="D3" s="51"/>
      <c r="E3" s="48" t="str">
        <f>IF(メンバ属性!A2="","",メンバ属性!A2)</f>
        <v>東播磨県民局 / 加古川土木事務所</v>
      </c>
      <c r="F3" s="48"/>
      <c r="G3" s="48"/>
      <c r="H3" s="48"/>
      <c r="I3" s="48"/>
      <c r="J3" s="48"/>
      <c r="K3" s="48"/>
      <c r="L3" s="48"/>
      <c r="M3" s="48"/>
      <c r="N3" s="48"/>
      <c r="O3" s="48"/>
      <c r="P3" s="48"/>
      <c r="Q3" s="48"/>
      <c r="R3" s="48"/>
      <c r="S3" s="48"/>
      <c r="T3" s="48"/>
      <c r="U3" s="48"/>
      <c r="V3" s="48"/>
      <c r="W3" s="48"/>
      <c r="X3" s="49" t="s">
        <v>2</v>
      </c>
      <c r="Y3" s="50"/>
      <c r="Z3" s="50"/>
      <c r="AA3" s="48" t="str">
        <f>IF(メンバ属性!C2="","",メンバ属性!C2)</f>
        <v>東播磨県民局加古川土木事務所所長補佐兼建設業課長</v>
      </c>
      <c r="AB3" s="48"/>
      <c r="AC3" s="48"/>
      <c r="AD3" s="48"/>
      <c r="AE3" s="48"/>
      <c r="AF3" s="48"/>
      <c r="AG3" s="48"/>
      <c r="AH3" s="48"/>
      <c r="AI3" s="48"/>
      <c r="AJ3" s="48"/>
      <c r="AK3" s="48"/>
      <c r="AL3" s="48"/>
      <c r="AM3" s="49" t="s">
        <v>4</v>
      </c>
      <c r="AN3" s="50"/>
      <c r="AO3" s="50"/>
      <c r="AP3" s="48" t="str">
        <f>IF(メンバ属性!B2="","",メンバ属性!B2)</f>
        <v>総合</v>
      </c>
      <c r="AQ3" s="48"/>
      <c r="AR3" s="48"/>
      <c r="AS3" s="48"/>
      <c r="AT3" s="48"/>
      <c r="AU3" s="48"/>
      <c r="AV3" s="48"/>
      <c r="AW3" s="48"/>
      <c r="AX3" s="48"/>
      <c r="AY3" s="48"/>
      <c r="AZ3" s="48"/>
    </row>
    <row r="4" spans="1:52" ht="18.75" customHeight="1">
      <c r="A4" s="17"/>
      <c r="B4" s="50" t="s">
        <v>1</v>
      </c>
      <c r="C4" s="50"/>
      <c r="D4" s="50"/>
      <c r="E4" s="48" t="str">
        <f>IF(メンバ属性!D2="","",メンバ属性!D2)</f>
        <v>栗田　直樹</v>
      </c>
      <c r="F4" s="48"/>
      <c r="G4" s="48"/>
      <c r="H4" s="48"/>
      <c r="I4" s="48"/>
      <c r="J4" s="48"/>
      <c r="K4" s="48"/>
      <c r="L4" s="48"/>
      <c r="M4" s="48"/>
      <c r="N4" s="48"/>
      <c r="O4" s="48"/>
      <c r="P4" s="48"/>
      <c r="Q4" s="48"/>
      <c r="R4" s="48"/>
      <c r="S4" s="48"/>
      <c r="T4" s="48"/>
      <c r="U4" s="48"/>
      <c r="V4" s="48"/>
      <c r="W4" s="48"/>
      <c r="X4" s="52" t="s">
        <v>3</v>
      </c>
      <c r="Y4" s="51"/>
      <c r="Z4" s="51"/>
      <c r="AA4" s="47" t="str">
        <f>IF(メンバ属性!E2="","",メンバ属性!E2)</f>
        <v>90106</v>
      </c>
      <c r="AB4" s="47"/>
      <c r="AC4" s="47"/>
      <c r="AD4" s="47"/>
      <c r="AE4" s="47"/>
      <c r="AF4" s="47"/>
      <c r="AG4" s="47"/>
      <c r="AH4" s="47"/>
      <c r="AI4" s="47"/>
      <c r="AJ4" s="47"/>
      <c r="AK4" s="47"/>
      <c r="AL4" s="47"/>
      <c r="AM4" s="52" t="s">
        <v>5</v>
      </c>
      <c r="AN4" s="51"/>
      <c r="AO4" s="51"/>
      <c r="AP4" s="48" t="str">
        <f>IF(メンバ属性!F2="1","行政職",IF(メンバ属性!F2="2","研究職",IF(メンバ属性!F2="3","医師・歯科医師職",IF(メンバ属性!F2="4","看護職",IF(メンバ属性!F2="9","技能労務職","")))))</f>
        <v>行政職</v>
      </c>
      <c r="AQ4" s="48"/>
      <c r="AR4" s="48"/>
      <c r="AS4" s="48"/>
      <c r="AT4" s="48"/>
      <c r="AU4" s="48"/>
      <c r="AV4" s="48"/>
      <c r="AW4" s="48"/>
      <c r="AX4" s="44" t="str">
        <f>IF(メンバ属性!G2="","",メンバ属性!G2)</f>
        <v>6</v>
      </c>
      <c r="AY4" s="45"/>
      <c r="AZ4" s="15" t="s">
        <v>5</v>
      </c>
    </row>
    <row r="5" spans="1:52" ht="15" customHeight="1">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c r="AD5" s="17"/>
      <c r="AE5" s="17"/>
      <c r="AF5" s="17"/>
      <c r="AG5" s="17"/>
      <c r="AH5" s="17"/>
      <c r="AI5" s="17"/>
      <c r="AJ5" s="17"/>
      <c r="AK5" s="17"/>
      <c r="AL5" s="17"/>
      <c r="AM5" s="17"/>
      <c r="AN5" s="17"/>
      <c r="AO5" s="17"/>
      <c r="AP5" s="17"/>
      <c r="AQ5" s="17"/>
      <c r="AR5" s="17"/>
      <c r="AS5" s="17"/>
      <c r="AT5" s="17"/>
      <c r="AU5" s="17"/>
      <c r="AV5" s="17"/>
    </row>
    <row r="6" spans="1:52" ht="15" customHeight="1">
      <c r="A6" s="17"/>
      <c r="B6" s="53"/>
      <c r="C6" s="54"/>
      <c r="D6" s="54"/>
      <c r="E6" s="54"/>
      <c r="F6" s="54"/>
      <c r="G6" s="54"/>
      <c r="H6" s="54"/>
      <c r="I6" s="30" t="s">
        <v>9</v>
      </c>
      <c r="J6" s="30"/>
      <c r="K6" s="30"/>
      <c r="L6" s="30"/>
      <c r="M6" s="30"/>
      <c r="N6" s="30"/>
      <c r="O6" s="30"/>
      <c r="P6" s="30"/>
      <c r="Q6" s="30"/>
      <c r="R6" s="30"/>
      <c r="S6" s="30"/>
      <c r="T6" s="30"/>
      <c r="U6" s="30"/>
      <c r="V6" s="30"/>
      <c r="W6" s="30"/>
      <c r="X6" s="30" t="s">
        <v>10</v>
      </c>
      <c r="Y6" s="30"/>
      <c r="Z6" s="30"/>
      <c r="AA6" s="30"/>
      <c r="AB6" s="30"/>
      <c r="AC6" s="30"/>
      <c r="AD6" s="30"/>
      <c r="AE6" s="30"/>
      <c r="AF6" s="30"/>
      <c r="AG6" s="30"/>
      <c r="AH6" s="30"/>
      <c r="AI6" s="30"/>
      <c r="AJ6" s="30"/>
      <c r="AK6" s="30"/>
      <c r="AL6" s="30"/>
      <c r="AM6" s="30">
        <v>3</v>
      </c>
      <c r="AN6" s="30"/>
      <c r="AO6" s="30"/>
      <c r="AP6" s="30"/>
      <c r="AQ6" s="30"/>
      <c r="AR6" s="30"/>
      <c r="AS6" s="30"/>
      <c r="AT6" s="30"/>
      <c r="AU6" s="30"/>
      <c r="AV6" s="30"/>
      <c r="AW6" s="30"/>
      <c r="AX6" s="30"/>
      <c r="AY6" s="30"/>
      <c r="AZ6" s="34"/>
    </row>
    <row r="7" spans="1:52" ht="15" customHeight="1">
      <c r="A7" s="17"/>
      <c r="B7" s="55"/>
      <c r="C7" s="50"/>
      <c r="D7" s="50"/>
      <c r="E7" s="50"/>
      <c r="F7" s="50"/>
      <c r="G7" s="50"/>
      <c r="H7" s="50"/>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5"/>
    </row>
    <row r="8" spans="1:52" ht="15" customHeight="1">
      <c r="B8" s="36" t="s">
        <v>19</v>
      </c>
      <c r="C8" s="37"/>
      <c r="D8" s="37"/>
      <c r="E8" s="37"/>
      <c r="F8" s="37"/>
      <c r="G8" s="37"/>
      <c r="H8" s="37"/>
      <c r="I8" s="32" t="str">
        <f>IF(属性!F2="","",属性!F2)</f>
        <v>新規施策の立案と調整
　前例のない業務改善施策（デジタルツールの導入や庁内手続の省力化など）について、自ら調査・提案。関係者との合意形成を図る。実現可能な落としどころを探り、粘り強く実行に移す。</v>
      </c>
      <c r="J8" s="32"/>
      <c r="K8" s="32"/>
      <c r="L8" s="32"/>
      <c r="M8" s="32"/>
      <c r="N8" s="32"/>
      <c r="O8" s="32"/>
      <c r="P8" s="32"/>
      <c r="Q8" s="32"/>
      <c r="R8" s="32"/>
      <c r="S8" s="32"/>
      <c r="T8" s="32"/>
      <c r="U8" s="32"/>
      <c r="V8" s="32"/>
      <c r="W8" s="32"/>
      <c r="X8" s="32" t="str">
        <f>IF(属性!I2="","",属性!I2)</f>
        <v>業務の効率化と質の向上
　業務の洗い出しと見直しを行い、重要度の低い業務の廃止・集約を提案・実施。担当者の負担軽減と質の高い業務への集中を実現。共有ナレッジの整備を進める。</v>
      </c>
      <c r="Y8" s="32"/>
      <c r="Z8" s="32"/>
      <c r="AA8" s="32"/>
      <c r="AB8" s="32"/>
      <c r="AC8" s="32"/>
      <c r="AD8" s="32"/>
      <c r="AE8" s="32"/>
      <c r="AF8" s="32"/>
      <c r="AG8" s="32"/>
      <c r="AH8" s="32"/>
      <c r="AI8" s="32"/>
      <c r="AJ8" s="32"/>
      <c r="AK8" s="32"/>
      <c r="AL8" s="32"/>
      <c r="AM8" s="32" t="str">
        <f>IF(属性!L2="","",属性!L2)</f>
        <v>後進育成とナレッジの共有
　これまでの経験・知見を活かし若手職員の業務支援と育成に取組む。特に「なぜこの仕事が必要か」「どうすれば効率的にできるか」といった本質的な問いかけを通じて思考の深掘りを促す。</v>
      </c>
      <c r="AN8" s="32"/>
      <c r="AO8" s="32"/>
      <c r="AP8" s="32"/>
      <c r="AQ8" s="32"/>
      <c r="AR8" s="32"/>
      <c r="AS8" s="32"/>
      <c r="AT8" s="32"/>
      <c r="AU8" s="32"/>
      <c r="AV8" s="32"/>
      <c r="AW8" s="32"/>
      <c r="AX8" s="32"/>
      <c r="AY8" s="32"/>
      <c r="AZ8" s="33"/>
    </row>
    <row r="9" spans="1:52" ht="15" customHeight="1">
      <c r="A9" s="17"/>
      <c r="B9" s="38"/>
      <c r="C9" s="37"/>
      <c r="D9" s="37"/>
      <c r="E9" s="37"/>
      <c r="F9" s="37"/>
      <c r="G9" s="37"/>
      <c r="H9" s="37"/>
      <c r="I9" s="32"/>
      <c r="J9" s="32"/>
      <c r="K9" s="32"/>
      <c r="L9" s="32"/>
      <c r="M9" s="32"/>
      <c r="N9" s="32"/>
      <c r="O9" s="32"/>
      <c r="P9" s="32"/>
      <c r="Q9" s="32"/>
      <c r="R9" s="32"/>
      <c r="S9" s="32"/>
      <c r="T9" s="32"/>
      <c r="U9" s="32"/>
      <c r="V9" s="32"/>
      <c r="W9" s="32"/>
      <c r="X9" s="32"/>
      <c r="Y9" s="32"/>
      <c r="Z9" s="32"/>
      <c r="AA9" s="32"/>
      <c r="AB9" s="32"/>
      <c r="AC9" s="32"/>
      <c r="AD9" s="32"/>
      <c r="AE9" s="32"/>
      <c r="AF9" s="32"/>
      <c r="AG9" s="32"/>
      <c r="AH9" s="32"/>
      <c r="AI9" s="32"/>
      <c r="AJ9" s="32"/>
      <c r="AK9" s="32"/>
      <c r="AL9" s="32"/>
      <c r="AM9" s="32"/>
      <c r="AN9" s="32"/>
      <c r="AO9" s="32"/>
      <c r="AP9" s="32"/>
      <c r="AQ9" s="32"/>
      <c r="AR9" s="32"/>
      <c r="AS9" s="32"/>
      <c r="AT9" s="32"/>
      <c r="AU9" s="32"/>
      <c r="AV9" s="32"/>
      <c r="AW9" s="32"/>
      <c r="AX9" s="32"/>
      <c r="AY9" s="32"/>
      <c r="AZ9" s="33"/>
    </row>
    <row r="10" spans="1:52" ht="15" customHeight="1">
      <c r="A10" s="17"/>
      <c r="B10" s="38"/>
      <c r="C10" s="37"/>
      <c r="D10" s="37"/>
      <c r="E10" s="37"/>
      <c r="F10" s="37"/>
      <c r="G10" s="37"/>
      <c r="H10" s="37"/>
      <c r="I10" s="32"/>
      <c r="J10" s="32"/>
      <c r="K10" s="32"/>
      <c r="L10" s="32"/>
      <c r="M10" s="32"/>
      <c r="N10" s="32"/>
      <c r="O10" s="32"/>
      <c r="P10" s="32"/>
      <c r="Q10" s="32"/>
      <c r="R10" s="32"/>
      <c r="S10" s="32"/>
      <c r="T10" s="32"/>
      <c r="U10" s="32"/>
      <c r="V10" s="32"/>
      <c r="W10" s="32"/>
      <c r="X10" s="32"/>
      <c r="Y10" s="32"/>
      <c r="Z10" s="32"/>
      <c r="AA10" s="32"/>
      <c r="AB10" s="32"/>
      <c r="AC10" s="32"/>
      <c r="AD10" s="32"/>
      <c r="AE10" s="32"/>
      <c r="AF10" s="32"/>
      <c r="AG10" s="32"/>
      <c r="AH10" s="32"/>
      <c r="AI10" s="32"/>
      <c r="AJ10" s="32"/>
      <c r="AK10" s="32"/>
      <c r="AL10" s="32"/>
      <c r="AM10" s="32"/>
      <c r="AN10" s="32"/>
      <c r="AO10" s="32"/>
      <c r="AP10" s="32"/>
      <c r="AQ10" s="32"/>
      <c r="AR10" s="32"/>
      <c r="AS10" s="32"/>
      <c r="AT10" s="32"/>
      <c r="AU10" s="32"/>
      <c r="AV10" s="32"/>
      <c r="AW10" s="32"/>
      <c r="AX10" s="32"/>
      <c r="AY10" s="32"/>
      <c r="AZ10" s="33"/>
    </row>
    <row r="11" spans="1:52" ht="15" customHeight="1">
      <c r="A11" s="17"/>
      <c r="B11" s="38"/>
      <c r="C11" s="37"/>
      <c r="D11" s="37"/>
      <c r="E11" s="37"/>
      <c r="F11" s="37"/>
      <c r="G11" s="37"/>
      <c r="H11" s="37"/>
      <c r="I11" s="32"/>
      <c r="J11" s="32"/>
      <c r="K11" s="32"/>
      <c r="L11" s="32"/>
      <c r="M11" s="32"/>
      <c r="N11" s="32"/>
      <c r="O11" s="32"/>
      <c r="P11" s="32"/>
      <c r="Q11" s="32"/>
      <c r="R11" s="32"/>
      <c r="S11" s="32"/>
      <c r="T11" s="32"/>
      <c r="U11" s="32"/>
      <c r="V11" s="32"/>
      <c r="W11" s="32"/>
      <c r="X11" s="32"/>
      <c r="Y11" s="32"/>
      <c r="Z11" s="32"/>
      <c r="AA11" s="32"/>
      <c r="AB11" s="32"/>
      <c r="AC11" s="32"/>
      <c r="AD11" s="32"/>
      <c r="AE11" s="32"/>
      <c r="AF11" s="32"/>
      <c r="AG11" s="32"/>
      <c r="AH11" s="32"/>
      <c r="AI11" s="32"/>
      <c r="AJ11" s="32"/>
      <c r="AK11" s="32"/>
      <c r="AL11" s="32"/>
      <c r="AM11" s="32"/>
      <c r="AN11" s="32"/>
      <c r="AO11" s="32"/>
      <c r="AP11" s="32"/>
      <c r="AQ11" s="32"/>
      <c r="AR11" s="32"/>
      <c r="AS11" s="32"/>
      <c r="AT11" s="32"/>
      <c r="AU11" s="32"/>
      <c r="AV11" s="32"/>
      <c r="AW11" s="32"/>
      <c r="AX11" s="32"/>
      <c r="AY11" s="32"/>
      <c r="AZ11" s="33"/>
    </row>
    <row r="12" spans="1:52" ht="15" customHeight="1">
      <c r="A12" s="17"/>
      <c r="B12" s="38"/>
      <c r="C12" s="37"/>
      <c r="D12" s="37"/>
      <c r="E12" s="37"/>
      <c r="F12" s="37"/>
      <c r="G12" s="37"/>
      <c r="H12" s="37"/>
      <c r="I12" s="32"/>
      <c r="J12" s="32"/>
      <c r="K12" s="32"/>
      <c r="L12" s="32"/>
      <c r="M12" s="32"/>
      <c r="N12" s="32"/>
      <c r="O12" s="32"/>
      <c r="P12" s="32"/>
      <c r="Q12" s="32"/>
      <c r="R12" s="32"/>
      <c r="S12" s="32"/>
      <c r="T12" s="32"/>
      <c r="U12" s="32"/>
      <c r="V12" s="32"/>
      <c r="W12" s="32"/>
      <c r="X12" s="32"/>
      <c r="Y12" s="32"/>
      <c r="Z12" s="32"/>
      <c r="AA12" s="32"/>
      <c r="AB12" s="32"/>
      <c r="AC12" s="32"/>
      <c r="AD12" s="32"/>
      <c r="AE12" s="32"/>
      <c r="AF12" s="32"/>
      <c r="AG12" s="32"/>
      <c r="AH12" s="32"/>
      <c r="AI12" s="32"/>
      <c r="AJ12" s="32"/>
      <c r="AK12" s="32"/>
      <c r="AL12" s="32"/>
      <c r="AM12" s="32"/>
      <c r="AN12" s="32"/>
      <c r="AO12" s="32"/>
      <c r="AP12" s="32"/>
      <c r="AQ12" s="32"/>
      <c r="AR12" s="32"/>
      <c r="AS12" s="32"/>
      <c r="AT12" s="32"/>
      <c r="AU12" s="32"/>
      <c r="AV12" s="32"/>
      <c r="AW12" s="32"/>
      <c r="AX12" s="32"/>
      <c r="AY12" s="32"/>
      <c r="AZ12" s="33"/>
    </row>
    <row r="13" spans="1:52" ht="15" customHeight="1">
      <c r="A13" s="17"/>
      <c r="B13" s="38"/>
      <c r="C13" s="37"/>
      <c r="D13" s="37"/>
      <c r="E13" s="37"/>
      <c r="F13" s="37"/>
      <c r="G13" s="37"/>
      <c r="H13" s="37"/>
      <c r="I13" s="32"/>
      <c r="J13" s="32"/>
      <c r="K13" s="32"/>
      <c r="L13" s="32"/>
      <c r="M13" s="32"/>
      <c r="N13" s="32"/>
      <c r="O13" s="32"/>
      <c r="P13" s="32"/>
      <c r="Q13" s="32"/>
      <c r="R13" s="32"/>
      <c r="S13" s="32"/>
      <c r="T13" s="32"/>
      <c r="U13" s="32"/>
      <c r="V13" s="32"/>
      <c r="W13" s="32"/>
      <c r="X13" s="32"/>
      <c r="Y13" s="32"/>
      <c r="Z13" s="32"/>
      <c r="AA13" s="32"/>
      <c r="AB13" s="32"/>
      <c r="AC13" s="32"/>
      <c r="AD13" s="32"/>
      <c r="AE13" s="32"/>
      <c r="AF13" s="32"/>
      <c r="AG13" s="32"/>
      <c r="AH13" s="32"/>
      <c r="AI13" s="32"/>
      <c r="AJ13" s="32"/>
      <c r="AK13" s="32"/>
      <c r="AL13" s="32"/>
      <c r="AM13" s="32"/>
      <c r="AN13" s="32"/>
      <c r="AO13" s="32"/>
      <c r="AP13" s="32"/>
      <c r="AQ13" s="32"/>
      <c r="AR13" s="32"/>
      <c r="AS13" s="32"/>
      <c r="AT13" s="32"/>
      <c r="AU13" s="32"/>
      <c r="AV13" s="32"/>
      <c r="AW13" s="32"/>
      <c r="AX13" s="32"/>
      <c r="AY13" s="32"/>
      <c r="AZ13" s="33"/>
    </row>
    <row r="14" spans="1:52" ht="15" customHeight="1">
      <c r="A14" s="17"/>
      <c r="B14" s="36" t="s">
        <v>18</v>
      </c>
      <c r="C14" s="37"/>
      <c r="D14" s="37"/>
      <c r="E14" s="37"/>
      <c r="F14" s="31" t="s">
        <v>7</v>
      </c>
      <c r="G14" s="31"/>
      <c r="H14" s="31"/>
      <c r="I14" s="56" t="str">
        <f>IF(属性!G2="","",属性!G2)</f>
        <v>生成AI活用による業務改善を先導実践。WindsurfやGoogle AI Studioでﾎﾟﾓﾄﾞｰﾛﾀｲﾏｰを自作し課員に提供、職員の生産性向上に貢献。県推奨のkintoneを超越したﾊﾞｲﾌﾞｺｰﾃﾞｨﾝｸﾞ環境の必要性をAI研修で提言。ﾃﾞｼﾞﾀﾙ改革課の伴走支援事業への参画を建設業課長・土地調整官に働きかけ、予算要求への道筋を構築。</v>
      </c>
      <c r="J14" s="56"/>
      <c r="K14" s="56"/>
      <c r="L14" s="56"/>
      <c r="M14" s="56"/>
      <c r="N14" s="56"/>
      <c r="O14" s="56"/>
      <c r="P14" s="56"/>
      <c r="Q14" s="56"/>
      <c r="R14" s="56"/>
      <c r="S14" s="56"/>
      <c r="T14" s="56"/>
      <c r="U14" s="56"/>
      <c r="V14" s="56"/>
      <c r="W14" s="56"/>
      <c r="X14" s="56" t="str">
        <f>IF(属性!J2="","",属性!J2)</f>
        <v>ｼｽﾃﾑ運用の抜本見直しを実行。非効率な住基ﾈｯﾄPC返還により業務負担を削減、登記情報連携ｼｽﾃﾑ導入で証明書添付省略を具現。HYOGOｺﾐｭﾆｹｰｼｮﾝﾎﾟﾘｼｰを率先垂範し、Teams一元化による内線電話抑止を推進。各層別ﾁｬﾝﾈﾙを特設し暗黙知の可視化を実現。共有ﾅﾚｯｼﾞの体系的拡張を図り、組織全体の生産性向上に寄与。</v>
      </c>
      <c r="Y14" s="56"/>
      <c r="Z14" s="56"/>
      <c r="AA14" s="56"/>
      <c r="AB14" s="56"/>
      <c r="AC14" s="56"/>
      <c r="AD14" s="56"/>
      <c r="AE14" s="56"/>
      <c r="AF14" s="56"/>
      <c r="AG14" s="56"/>
      <c r="AH14" s="56"/>
      <c r="AI14" s="56"/>
      <c r="AJ14" s="56"/>
      <c r="AK14" s="56"/>
      <c r="AL14" s="56"/>
      <c r="AM14" s="56" t="str">
        <f>IF(属性!M2="","",属性!M2)</f>
        <v>藻谷浩介氏との対話から得たWHAT(何が起こっているか)重視の問いかけ手法を後進育成に導入。生成AI活用による対話の質向上を図り本質的思考の深掘りを促進。多忙な業務環境下でもﾎﾜｲﾄ･ｽﾍﾟｰｽ確保に努め職員との継続的な対話機会を創出。経験知の体系的伝承と自律的思考力育成の両立を実践。</v>
      </c>
      <c r="AN14" s="56"/>
      <c r="AO14" s="56"/>
      <c r="AP14" s="56"/>
      <c r="AQ14" s="56"/>
      <c r="AR14" s="56"/>
      <c r="AS14" s="56"/>
      <c r="AT14" s="56"/>
      <c r="AU14" s="56"/>
      <c r="AV14" s="56"/>
      <c r="AW14" s="56"/>
      <c r="AX14" s="56"/>
      <c r="AY14" s="56"/>
      <c r="AZ14" s="57"/>
    </row>
    <row r="15" spans="1:52" ht="15" customHeight="1">
      <c r="A15" s="17"/>
      <c r="B15" s="38"/>
      <c r="C15" s="37"/>
      <c r="D15" s="37"/>
      <c r="E15" s="37"/>
      <c r="F15" s="31"/>
      <c r="G15" s="31"/>
      <c r="H15" s="31"/>
      <c r="I15" s="56"/>
      <c r="J15" s="56"/>
      <c r="K15" s="56"/>
      <c r="L15" s="56"/>
      <c r="M15" s="56"/>
      <c r="N15" s="56"/>
      <c r="O15" s="56"/>
      <c r="P15" s="56"/>
      <c r="Q15" s="56"/>
      <c r="R15" s="56"/>
      <c r="S15" s="56"/>
      <c r="T15" s="56"/>
      <c r="U15" s="56"/>
      <c r="V15" s="56"/>
      <c r="W15" s="56"/>
      <c r="X15" s="56"/>
      <c r="Y15" s="56"/>
      <c r="Z15" s="56"/>
      <c r="AA15" s="56"/>
      <c r="AB15" s="56"/>
      <c r="AC15" s="56"/>
      <c r="AD15" s="56"/>
      <c r="AE15" s="56"/>
      <c r="AF15" s="56"/>
      <c r="AG15" s="56"/>
      <c r="AH15" s="56"/>
      <c r="AI15" s="56"/>
      <c r="AJ15" s="56"/>
      <c r="AK15" s="56"/>
      <c r="AL15" s="56"/>
      <c r="AM15" s="56"/>
      <c r="AN15" s="56"/>
      <c r="AO15" s="56"/>
      <c r="AP15" s="56"/>
      <c r="AQ15" s="56"/>
      <c r="AR15" s="56"/>
      <c r="AS15" s="56"/>
      <c r="AT15" s="56"/>
      <c r="AU15" s="56"/>
      <c r="AV15" s="56"/>
      <c r="AW15" s="56"/>
      <c r="AX15" s="56"/>
      <c r="AY15" s="56"/>
      <c r="AZ15" s="57"/>
    </row>
    <row r="16" spans="1:52" ht="15" customHeight="1">
      <c r="A16" s="17"/>
      <c r="B16" s="38"/>
      <c r="C16" s="37"/>
      <c r="D16" s="37"/>
      <c r="E16" s="37"/>
      <c r="F16" s="31"/>
      <c r="G16" s="31"/>
      <c r="H16" s="31"/>
      <c r="I16" s="56"/>
      <c r="J16" s="56"/>
      <c r="K16" s="56"/>
      <c r="L16" s="56"/>
      <c r="M16" s="56"/>
      <c r="N16" s="56"/>
      <c r="O16" s="56"/>
      <c r="P16" s="56"/>
      <c r="Q16" s="56"/>
      <c r="R16" s="56"/>
      <c r="S16" s="56"/>
      <c r="T16" s="56"/>
      <c r="U16" s="56"/>
      <c r="V16" s="56"/>
      <c r="W16" s="56"/>
      <c r="X16" s="56"/>
      <c r="Y16" s="56"/>
      <c r="Z16" s="56"/>
      <c r="AA16" s="56"/>
      <c r="AB16" s="56"/>
      <c r="AC16" s="56"/>
      <c r="AD16" s="56"/>
      <c r="AE16" s="56"/>
      <c r="AF16" s="56"/>
      <c r="AG16" s="56"/>
      <c r="AH16" s="56"/>
      <c r="AI16" s="56"/>
      <c r="AJ16" s="56"/>
      <c r="AK16" s="56"/>
      <c r="AL16" s="56"/>
      <c r="AM16" s="56"/>
      <c r="AN16" s="56"/>
      <c r="AO16" s="56"/>
      <c r="AP16" s="56"/>
      <c r="AQ16" s="56"/>
      <c r="AR16" s="56"/>
      <c r="AS16" s="56"/>
      <c r="AT16" s="56"/>
      <c r="AU16" s="56"/>
      <c r="AV16" s="56"/>
      <c r="AW16" s="56"/>
      <c r="AX16" s="56"/>
      <c r="AY16" s="56"/>
      <c r="AZ16" s="57"/>
    </row>
    <row r="17" spans="1:52" ht="15" customHeight="1">
      <c r="A17" s="17"/>
      <c r="B17" s="38"/>
      <c r="C17" s="37"/>
      <c r="D17" s="37"/>
      <c r="E17" s="37"/>
      <c r="F17" s="31"/>
      <c r="G17" s="31"/>
      <c r="H17" s="31"/>
      <c r="I17" s="56"/>
      <c r="J17" s="56"/>
      <c r="K17" s="56"/>
      <c r="L17" s="56"/>
      <c r="M17" s="56"/>
      <c r="N17" s="56"/>
      <c r="O17" s="56"/>
      <c r="P17" s="56"/>
      <c r="Q17" s="56"/>
      <c r="R17" s="56"/>
      <c r="S17" s="56"/>
      <c r="T17" s="56"/>
      <c r="U17" s="56"/>
      <c r="V17" s="56"/>
      <c r="W17" s="56"/>
      <c r="X17" s="56"/>
      <c r="Y17" s="56"/>
      <c r="Z17" s="56"/>
      <c r="AA17" s="56"/>
      <c r="AB17" s="56"/>
      <c r="AC17" s="56"/>
      <c r="AD17" s="56"/>
      <c r="AE17" s="56"/>
      <c r="AF17" s="56"/>
      <c r="AG17" s="56"/>
      <c r="AH17" s="56"/>
      <c r="AI17" s="56"/>
      <c r="AJ17" s="56"/>
      <c r="AK17" s="56"/>
      <c r="AL17" s="56"/>
      <c r="AM17" s="56"/>
      <c r="AN17" s="56"/>
      <c r="AO17" s="56"/>
      <c r="AP17" s="56"/>
      <c r="AQ17" s="56"/>
      <c r="AR17" s="56"/>
      <c r="AS17" s="56"/>
      <c r="AT17" s="56"/>
      <c r="AU17" s="56"/>
      <c r="AV17" s="56"/>
      <c r="AW17" s="56"/>
      <c r="AX17" s="56"/>
      <c r="AY17" s="56"/>
      <c r="AZ17" s="57"/>
    </row>
    <row r="18" spans="1:52" ht="15" customHeight="1">
      <c r="A18" s="17"/>
      <c r="B18" s="38"/>
      <c r="C18" s="37"/>
      <c r="D18" s="37"/>
      <c r="E18" s="37"/>
      <c r="F18" s="31"/>
      <c r="G18" s="31"/>
      <c r="H18" s="31"/>
      <c r="I18" s="56"/>
      <c r="J18" s="56"/>
      <c r="K18" s="56"/>
      <c r="L18" s="56"/>
      <c r="M18" s="56"/>
      <c r="N18" s="56"/>
      <c r="O18" s="56"/>
      <c r="P18" s="56"/>
      <c r="Q18" s="56"/>
      <c r="R18" s="56"/>
      <c r="S18" s="56"/>
      <c r="T18" s="56"/>
      <c r="U18" s="56"/>
      <c r="V18" s="56"/>
      <c r="W18" s="56"/>
      <c r="X18" s="56"/>
      <c r="Y18" s="56"/>
      <c r="Z18" s="56"/>
      <c r="AA18" s="56"/>
      <c r="AB18" s="56"/>
      <c r="AC18" s="56"/>
      <c r="AD18" s="56"/>
      <c r="AE18" s="56"/>
      <c r="AF18" s="56"/>
      <c r="AG18" s="56"/>
      <c r="AH18" s="56"/>
      <c r="AI18" s="56"/>
      <c r="AJ18" s="56"/>
      <c r="AK18" s="56"/>
      <c r="AL18" s="56"/>
      <c r="AM18" s="56"/>
      <c r="AN18" s="56"/>
      <c r="AO18" s="56"/>
      <c r="AP18" s="56"/>
      <c r="AQ18" s="56"/>
      <c r="AR18" s="56"/>
      <c r="AS18" s="56"/>
      <c r="AT18" s="56"/>
      <c r="AU18" s="56"/>
      <c r="AV18" s="56"/>
      <c r="AW18" s="56"/>
      <c r="AX18" s="56"/>
      <c r="AY18" s="56"/>
      <c r="AZ18" s="57"/>
    </row>
    <row r="19" spans="1:52" ht="15" customHeight="1">
      <c r="A19" s="17"/>
      <c r="B19" s="38"/>
      <c r="C19" s="37"/>
      <c r="D19" s="37"/>
      <c r="E19" s="37"/>
      <c r="F19" s="31"/>
      <c r="G19" s="31"/>
      <c r="H19" s="31"/>
      <c r="I19" s="56"/>
      <c r="J19" s="56"/>
      <c r="K19" s="56"/>
      <c r="L19" s="56"/>
      <c r="M19" s="56"/>
      <c r="N19" s="56"/>
      <c r="O19" s="56"/>
      <c r="P19" s="56"/>
      <c r="Q19" s="56"/>
      <c r="R19" s="56"/>
      <c r="S19" s="56"/>
      <c r="T19" s="56"/>
      <c r="U19" s="56"/>
      <c r="V19" s="56"/>
      <c r="W19" s="56"/>
      <c r="X19" s="56"/>
      <c r="Y19" s="56"/>
      <c r="Z19" s="56"/>
      <c r="AA19" s="56"/>
      <c r="AB19" s="56"/>
      <c r="AC19" s="56"/>
      <c r="AD19" s="56"/>
      <c r="AE19" s="56"/>
      <c r="AF19" s="56"/>
      <c r="AG19" s="56"/>
      <c r="AH19" s="56"/>
      <c r="AI19" s="56"/>
      <c r="AJ19" s="56"/>
      <c r="AK19" s="56"/>
      <c r="AL19" s="56"/>
      <c r="AM19" s="56"/>
      <c r="AN19" s="56"/>
      <c r="AO19" s="56"/>
      <c r="AP19" s="56"/>
      <c r="AQ19" s="56"/>
      <c r="AR19" s="56"/>
      <c r="AS19" s="56"/>
      <c r="AT19" s="56"/>
      <c r="AU19" s="56"/>
      <c r="AV19" s="56"/>
      <c r="AW19" s="56"/>
      <c r="AX19" s="56"/>
      <c r="AY19" s="56"/>
      <c r="AZ19" s="57"/>
    </row>
    <row r="20" spans="1:52" ht="15" customHeight="1">
      <c r="A20" s="17"/>
      <c r="B20" s="38"/>
      <c r="C20" s="37"/>
      <c r="D20" s="37"/>
      <c r="E20" s="37"/>
      <c r="F20" s="31" t="s">
        <v>8</v>
      </c>
      <c r="G20" s="31"/>
      <c r="H20" s="31"/>
      <c r="I20" s="32" t="str">
        <f>IF(属性!H2="","",属性!H2)</f>
        <v/>
      </c>
      <c r="J20" s="32"/>
      <c r="K20" s="32"/>
      <c r="L20" s="32"/>
      <c r="M20" s="32"/>
      <c r="N20" s="32"/>
      <c r="O20" s="32"/>
      <c r="P20" s="32"/>
      <c r="Q20" s="32"/>
      <c r="R20" s="32"/>
      <c r="S20" s="32"/>
      <c r="T20" s="32"/>
      <c r="U20" s="32"/>
      <c r="V20" s="32"/>
      <c r="W20" s="32"/>
      <c r="X20" s="32" t="str">
        <f>IF(属性!K2="","",属性!K2)</f>
        <v/>
      </c>
      <c r="Y20" s="32"/>
      <c r="Z20" s="32"/>
      <c r="AA20" s="32"/>
      <c r="AB20" s="32"/>
      <c r="AC20" s="32"/>
      <c r="AD20" s="32"/>
      <c r="AE20" s="32"/>
      <c r="AF20" s="32"/>
      <c r="AG20" s="32"/>
      <c r="AH20" s="32"/>
      <c r="AI20" s="32"/>
      <c r="AJ20" s="32"/>
      <c r="AK20" s="32"/>
      <c r="AL20" s="32"/>
      <c r="AM20" s="32" t="str">
        <f>IF(属性!N2="","",属性!N2)</f>
        <v/>
      </c>
      <c r="AN20" s="32"/>
      <c r="AO20" s="32"/>
      <c r="AP20" s="32"/>
      <c r="AQ20" s="32"/>
      <c r="AR20" s="32"/>
      <c r="AS20" s="32"/>
      <c r="AT20" s="32"/>
      <c r="AU20" s="32"/>
      <c r="AV20" s="32"/>
      <c r="AW20" s="32"/>
      <c r="AX20" s="32"/>
      <c r="AY20" s="32"/>
      <c r="AZ20" s="33"/>
    </row>
    <row r="21" spans="1:52" ht="15" customHeight="1">
      <c r="A21" s="17"/>
      <c r="B21" s="38"/>
      <c r="C21" s="37"/>
      <c r="D21" s="37"/>
      <c r="E21" s="37"/>
      <c r="F21" s="31"/>
      <c r="G21" s="31"/>
      <c r="H21" s="31"/>
      <c r="I21" s="32"/>
      <c r="J21" s="32"/>
      <c r="K21" s="32"/>
      <c r="L21" s="32"/>
      <c r="M21" s="32"/>
      <c r="N21" s="32"/>
      <c r="O21" s="32"/>
      <c r="P21" s="32"/>
      <c r="Q21" s="32"/>
      <c r="R21" s="32"/>
      <c r="S21" s="32"/>
      <c r="T21" s="32"/>
      <c r="U21" s="32"/>
      <c r="V21" s="32"/>
      <c r="W21" s="32"/>
      <c r="X21" s="32"/>
      <c r="Y21" s="32"/>
      <c r="Z21" s="32"/>
      <c r="AA21" s="32"/>
      <c r="AB21" s="32"/>
      <c r="AC21" s="32"/>
      <c r="AD21" s="32"/>
      <c r="AE21" s="32"/>
      <c r="AF21" s="32"/>
      <c r="AG21" s="32"/>
      <c r="AH21" s="32"/>
      <c r="AI21" s="32"/>
      <c r="AJ21" s="32"/>
      <c r="AK21" s="32"/>
      <c r="AL21" s="32"/>
      <c r="AM21" s="32"/>
      <c r="AN21" s="32"/>
      <c r="AO21" s="32"/>
      <c r="AP21" s="32"/>
      <c r="AQ21" s="32"/>
      <c r="AR21" s="32"/>
      <c r="AS21" s="32"/>
      <c r="AT21" s="32"/>
      <c r="AU21" s="32"/>
      <c r="AV21" s="32"/>
      <c r="AW21" s="32"/>
      <c r="AX21" s="32"/>
      <c r="AY21" s="32"/>
      <c r="AZ21" s="33"/>
    </row>
    <row r="22" spans="1:52" ht="15" customHeight="1">
      <c r="A22" s="17"/>
      <c r="B22" s="38"/>
      <c r="C22" s="37"/>
      <c r="D22" s="37"/>
      <c r="E22" s="37"/>
      <c r="F22" s="31"/>
      <c r="G22" s="31"/>
      <c r="H22" s="31"/>
      <c r="I22" s="32"/>
      <c r="J22" s="32"/>
      <c r="K22" s="32"/>
      <c r="L22" s="32"/>
      <c r="M22" s="32"/>
      <c r="N22" s="32"/>
      <c r="O22" s="32"/>
      <c r="P22" s="32"/>
      <c r="Q22" s="32"/>
      <c r="R22" s="32"/>
      <c r="S22" s="32"/>
      <c r="T22" s="32"/>
      <c r="U22" s="32"/>
      <c r="V22" s="32"/>
      <c r="W22" s="32"/>
      <c r="X22" s="32"/>
      <c r="Y22" s="32"/>
      <c r="Z22" s="32"/>
      <c r="AA22" s="32"/>
      <c r="AB22" s="32"/>
      <c r="AC22" s="32"/>
      <c r="AD22" s="32"/>
      <c r="AE22" s="32"/>
      <c r="AF22" s="32"/>
      <c r="AG22" s="32"/>
      <c r="AH22" s="32"/>
      <c r="AI22" s="32"/>
      <c r="AJ22" s="32"/>
      <c r="AK22" s="32"/>
      <c r="AL22" s="32"/>
      <c r="AM22" s="32"/>
      <c r="AN22" s="32"/>
      <c r="AO22" s="32"/>
      <c r="AP22" s="32"/>
      <c r="AQ22" s="32"/>
      <c r="AR22" s="32"/>
      <c r="AS22" s="32"/>
      <c r="AT22" s="32"/>
      <c r="AU22" s="32"/>
      <c r="AV22" s="32"/>
      <c r="AW22" s="32"/>
      <c r="AX22" s="32"/>
      <c r="AY22" s="32"/>
      <c r="AZ22" s="33"/>
    </row>
    <row r="23" spans="1:52" ht="15" customHeight="1">
      <c r="A23" s="17"/>
      <c r="B23" s="38"/>
      <c r="C23" s="37"/>
      <c r="D23" s="37"/>
      <c r="E23" s="37"/>
      <c r="F23" s="31"/>
      <c r="G23" s="31"/>
      <c r="H23" s="31"/>
      <c r="I23" s="32"/>
      <c r="J23" s="32"/>
      <c r="K23" s="32"/>
      <c r="L23" s="32"/>
      <c r="M23" s="32"/>
      <c r="N23" s="32"/>
      <c r="O23" s="32"/>
      <c r="P23" s="32"/>
      <c r="Q23" s="32"/>
      <c r="R23" s="32"/>
      <c r="S23" s="32"/>
      <c r="T23" s="32"/>
      <c r="U23" s="32"/>
      <c r="V23" s="32"/>
      <c r="W23" s="32"/>
      <c r="X23" s="32"/>
      <c r="Y23" s="32"/>
      <c r="Z23" s="32"/>
      <c r="AA23" s="32"/>
      <c r="AB23" s="32"/>
      <c r="AC23" s="32"/>
      <c r="AD23" s="32"/>
      <c r="AE23" s="32"/>
      <c r="AF23" s="32"/>
      <c r="AG23" s="32"/>
      <c r="AH23" s="32"/>
      <c r="AI23" s="32"/>
      <c r="AJ23" s="32"/>
      <c r="AK23" s="32"/>
      <c r="AL23" s="32"/>
      <c r="AM23" s="32"/>
      <c r="AN23" s="32"/>
      <c r="AO23" s="32"/>
      <c r="AP23" s="32"/>
      <c r="AQ23" s="32"/>
      <c r="AR23" s="32"/>
      <c r="AS23" s="32"/>
      <c r="AT23" s="32"/>
      <c r="AU23" s="32"/>
      <c r="AV23" s="32"/>
      <c r="AW23" s="32"/>
      <c r="AX23" s="32"/>
      <c r="AY23" s="32"/>
      <c r="AZ23" s="33"/>
    </row>
    <row r="24" spans="1:52" ht="15" customHeight="1">
      <c r="A24" s="17"/>
      <c r="B24" s="38"/>
      <c r="C24" s="37"/>
      <c r="D24" s="37"/>
      <c r="E24" s="37"/>
      <c r="F24" s="31"/>
      <c r="G24" s="31"/>
      <c r="H24" s="31"/>
      <c r="I24" s="32"/>
      <c r="J24" s="32"/>
      <c r="K24" s="32"/>
      <c r="L24" s="32"/>
      <c r="M24" s="32"/>
      <c r="N24" s="32"/>
      <c r="O24" s="32"/>
      <c r="P24" s="32"/>
      <c r="Q24" s="32"/>
      <c r="R24" s="32"/>
      <c r="S24" s="32"/>
      <c r="T24" s="32"/>
      <c r="U24" s="32"/>
      <c r="V24" s="32"/>
      <c r="W24" s="32"/>
      <c r="X24" s="32"/>
      <c r="Y24" s="32"/>
      <c r="Z24" s="32"/>
      <c r="AA24" s="32"/>
      <c r="AB24" s="32"/>
      <c r="AC24" s="32"/>
      <c r="AD24" s="32"/>
      <c r="AE24" s="32"/>
      <c r="AF24" s="32"/>
      <c r="AG24" s="32"/>
      <c r="AH24" s="32"/>
      <c r="AI24" s="32"/>
      <c r="AJ24" s="32"/>
      <c r="AK24" s="32"/>
      <c r="AL24" s="32"/>
      <c r="AM24" s="32"/>
      <c r="AN24" s="32"/>
      <c r="AO24" s="32"/>
      <c r="AP24" s="32"/>
      <c r="AQ24" s="32"/>
      <c r="AR24" s="32"/>
      <c r="AS24" s="32"/>
      <c r="AT24" s="32"/>
      <c r="AU24" s="32"/>
      <c r="AV24" s="32"/>
      <c r="AW24" s="32"/>
      <c r="AX24" s="32"/>
      <c r="AY24" s="32"/>
      <c r="AZ24" s="33"/>
    </row>
    <row r="25" spans="1:52" ht="15" customHeight="1">
      <c r="A25" s="17"/>
      <c r="B25" s="39"/>
      <c r="C25" s="40"/>
      <c r="D25" s="40"/>
      <c r="E25" s="40"/>
      <c r="F25" s="41"/>
      <c r="G25" s="41"/>
      <c r="H25" s="41"/>
      <c r="I25" s="42"/>
      <c r="J25" s="42"/>
      <c r="K25" s="42"/>
      <c r="L25" s="42"/>
      <c r="M25" s="42"/>
      <c r="N25" s="42"/>
      <c r="O25" s="42"/>
      <c r="P25" s="42"/>
      <c r="Q25" s="42"/>
      <c r="R25" s="42"/>
      <c r="S25" s="42"/>
      <c r="T25" s="42"/>
      <c r="U25" s="42"/>
      <c r="V25" s="42"/>
      <c r="W25" s="42"/>
      <c r="X25" s="42"/>
      <c r="Y25" s="42"/>
      <c r="Z25" s="42"/>
      <c r="AA25" s="42"/>
      <c r="AB25" s="42"/>
      <c r="AC25" s="42"/>
      <c r="AD25" s="42"/>
      <c r="AE25" s="42"/>
      <c r="AF25" s="42"/>
      <c r="AG25" s="42"/>
      <c r="AH25" s="42"/>
      <c r="AI25" s="42"/>
      <c r="AJ25" s="42"/>
      <c r="AK25" s="42"/>
      <c r="AL25" s="42"/>
      <c r="AM25" s="42"/>
      <c r="AN25" s="42"/>
      <c r="AO25" s="42"/>
      <c r="AP25" s="42"/>
      <c r="AQ25" s="42"/>
      <c r="AR25" s="42"/>
      <c r="AS25" s="42"/>
      <c r="AT25" s="42"/>
      <c r="AU25" s="42"/>
      <c r="AV25" s="42"/>
      <c r="AW25" s="42"/>
      <c r="AX25" s="42"/>
      <c r="AY25" s="42"/>
      <c r="AZ25" s="43"/>
    </row>
    <row r="26" spans="1:52" ht="12" customHeight="1">
      <c r="A26" s="17"/>
      <c r="X26" s="16" t="s">
        <v>44</v>
      </c>
      <c r="AV26" s="18"/>
    </row>
    <row r="27" spans="1:52" ht="18" customHeight="1">
      <c r="A27" s="17"/>
      <c r="B27" s="13" t="s">
        <v>17</v>
      </c>
      <c r="C27" s="12"/>
      <c r="D27" s="12"/>
      <c r="E27" s="11"/>
      <c r="F27" s="4" t="str">
        <f>IF(COUNTIF(属性!$O$2,"*県民本位*")=1,"〇","")</f>
        <v/>
      </c>
      <c r="G27" s="4"/>
      <c r="H27" s="1" t="s">
        <v>11</v>
      </c>
      <c r="I27" s="1"/>
      <c r="J27" s="1"/>
      <c r="K27" s="1"/>
      <c r="L27" s="1"/>
      <c r="M27" s="1"/>
      <c r="N27" s="1"/>
      <c r="O27" s="12" t="s">
        <v>15</v>
      </c>
      <c r="P27" s="12"/>
      <c r="Q27" s="12"/>
      <c r="R27" s="11"/>
      <c r="S27" s="24" t="str">
        <f>IF(属性!P2="","",属性!P2)</f>
        <v>・定例業務のスケジューリングを徹底し、突発業務への対応余力を常に確保する。
・自ら資料を読み込み、上司や関係者に「先回り」した提案・対応を行う。
・若手・同僚との意見交換を行い、現場の課題を掘り起こし、改善策に反映。
・煩雑な業務を効率化するための工夫を提案・導入する。</v>
      </c>
      <c r="T27" s="25"/>
      <c r="U27" s="25"/>
      <c r="V27" s="25"/>
      <c r="W27" s="25"/>
      <c r="X27" s="25"/>
      <c r="Y27" s="25"/>
      <c r="Z27" s="25"/>
      <c r="AA27" s="25"/>
      <c r="AB27" s="25"/>
      <c r="AC27" s="25"/>
      <c r="AD27" s="25"/>
      <c r="AE27" s="25"/>
      <c r="AF27" s="25"/>
      <c r="AG27" s="25"/>
      <c r="AH27" s="13" t="s">
        <v>16</v>
      </c>
      <c r="AI27" s="12"/>
      <c r="AJ27" s="12"/>
      <c r="AK27" s="11"/>
      <c r="AL27" s="58" t="str">
        <f>IF(属性!Q2="","",属性!Q2)</f>
        <v>〈伸ばしたいスキル〉合意形成や意見集約の場面で求められる思考と対話の技術を強化したい。自分の意見を単なる主張で終わらせず、納得感を持って受け入れてもらえる力を磨く。
〈将来やりたい仕事〉制度や業務プロセスの抜本的な見直しを行い、「見えないムダ」や「やらなくてよい仕事」を可視化し、組織の生産性向上に寄与したい。若手職員のキャリア支援や育成にも携わり、「頑張ることが楽しい」と思える職場づくりに貢献したい。
〈理想の働き方〉自ら課題を設定し、答えを探る姿勢を忘れず、「面倒くさい」に挑む気持ちを持ち続けたい。最小の努力で最大の効果を生む「良いモノグサ」であり続けるために、努力の方向と質にこだわる働き方を目指す。</v>
      </c>
      <c r="AM27" s="59"/>
      <c r="AN27" s="59"/>
      <c r="AO27" s="59"/>
      <c r="AP27" s="59"/>
      <c r="AQ27" s="59"/>
      <c r="AR27" s="59"/>
      <c r="AS27" s="59"/>
      <c r="AT27" s="59"/>
      <c r="AU27" s="59"/>
      <c r="AV27" s="59"/>
      <c r="AW27" s="59"/>
      <c r="AX27" s="59"/>
      <c r="AY27" s="59"/>
      <c r="AZ27" s="60"/>
    </row>
    <row r="28" spans="1:52" ht="15" customHeight="1">
      <c r="A28" s="17"/>
      <c r="B28" s="10"/>
      <c r="C28" s="9"/>
      <c r="D28" s="9"/>
      <c r="E28" s="8"/>
      <c r="F28" s="3"/>
      <c r="G28" s="3"/>
      <c r="H28" s="21"/>
      <c r="I28" s="21"/>
      <c r="J28" s="21"/>
      <c r="K28" s="21"/>
      <c r="L28" s="21"/>
      <c r="M28" s="21"/>
      <c r="N28" s="21"/>
      <c r="O28" s="9"/>
      <c r="P28" s="9"/>
      <c r="Q28" s="9"/>
      <c r="R28" s="8"/>
      <c r="S28" s="26"/>
      <c r="T28" s="27"/>
      <c r="U28" s="27"/>
      <c r="V28" s="27"/>
      <c r="W28" s="27"/>
      <c r="X28" s="27"/>
      <c r="Y28" s="27"/>
      <c r="Z28" s="27"/>
      <c r="AA28" s="27"/>
      <c r="AB28" s="27"/>
      <c r="AC28" s="27"/>
      <c r="AD28" s="27"/>
      <c r="AE28" s="27"/>
      <c r="AF28" s="27"/>
      <c r="AG28" s="27"/>
      <c r="AH28" s="10"/>
      <c r="AI28" s="9"/>
      <c r="AJ28" s="9"/>
      <c r="AK28" s="8"/>
      <c r="AL28" s="61"/>
      <c r="AM28" s="62"/>
      <c r="AN28" s="62"/>
      <c r="AO28" s="62"/>
      <c r="AP28" s="62"/>
      <c r="AQ28" s="62"/>
      <c r="AR28" s="62"/>
      <c r="AS28" s="62"/>
      <c r="AT28" s="62"/>
      <c r="AU28" s="62"/>
      <c r="AV28" s="62"/>
      <c r="AW28" s="62"/>
      <c r="AX28" s="62"/>
      <c r="AY28" s="62"/>
      <c r="AZ28" s="63"/>
    </row>
    <row r="29" spans="1:52" ht="15" customHeight="1">
      <c r="A29" s="17"/>
      <c r="B29" s="10"/>
      <c r="C29" s="9"/>
      <c r="D29" s="9"/>
      <c r="E29" s="8"/>
      <c r="F29" s="3" t="str">
        <f>IF(COUNTIF(属性!$O$2,"*ダイバーシティ＆インクルージョン*")=1,"〇","")</f>
        <v/>
      </c>
      <c r="G29" s="3"/>
      <c r="H29" s="22" t="s">
        <v>12</v>
      </c>
      <c r="I29" s="21"/>
      <c r="J29" s="21"/>
      <c r="K29" s="21"/>
      <c r="L29" s="21"/>
      <c r="M29" s="21"/>
      <c r="N29" s="21"/>
      <c r="O29" s="9"/>
      <c r="P29" s="9"/>
      <c r="Q29" s="9"/>
      <c r="R29" s="8"/>
      <c r="S29" s="26"/>
      <c r="T29" s="27"/>
      <c r="U29" s="27"/>
      <c r="V29" s="27"/>
      <c r="W29" s="27"/>
      <c r="X29" s="27"/>
      <c r="Y29" s="27"/>
      <c r="Z29" s="27"/>
      <c r="AA29" s="27"/>
      <c r="AB29" s="27"/>
      <c r="AC29" s="27"/>
      <c r="AD29" s="27"/>
      <c r="AE29" s="27"/>
      <c r="AF29" s="27"/>
      <c r="AG29" s="27"/>
      <c r="AH29" s="10"/>
      <c r="AI29" s="9"/>
      <c r="AJ29" s="9"/>
      <c r="AK29" s="8"/>
      <c r="AL29" s="61"/>
      <c r="AM29" s="62"/>
      <c r="AN29" s="62"/>
      <c r="AO29" s="62"/>
      <c r="AP29" s="62"/>
      <c r="AQ29" s="62"/>
      <c r="AR29" s="62"/>
      <c r="AS29" s="62"/>
      <c r="AT29" s="62"/>
      <c r="AU29" s="62"/>
      <c r="AV29" s="62"/>
      <c r="AW29" s="62"/>
      <c r="AX29" s="62"/>
      <c r="AY29" s="62"/>
      <c r="AZ29" s="63"/>
    </row>
    <row r="30" spans="1:52" ht="15" customHeight="1">
      <c r="A30" s="17"/>
      <c r="B30" s="10"/>
      <c r="C30" s="9"/>
      <c r="D30" s="9"/>
      <c r="E30" s="8"/>
      <c r="F30" s="3"/>
      <c r="G30" s="3"/>
      <c r="H30" s="21"/>
      <c r="I30" s="21"/>
      <c r="J30" s="21"/>
      <c r="K30" s="21"/>
      <c r="L30" s="21"/>
      <c r="M30" s="21"/>
      <c r="N30" s="21"/>
      <c r="O30" s="9"/>
      <c r="P30" s="9"/>
      <c r="Q30" s="9"/>
      <c r="R30" s="8"/>
      <c r="S30" s="26"/>
      <c r="T30" s="27"/>
      <c r="U30" s="27"/>
      <c r="V30" s="27"/>
      <c r="W30" s="27"/>
      <c r="X30" s="27"/>
      <c r="Y30" s="27"/>
      <c r="Z30" s="27"/>
      <c r="AA30" s="27"/>
      <c r="AB30" s="27"/>
      <c r="AC30" s="27"/>
      <c r="AD30" s="27"/>
      <c r="AE30" s="27"/>
      <c r="AF30" s="27"/>
      <c r="AG30" s="27"/>
      <c r="AH30" s="10"/>
      <c r="AI30" s="9"/>
      <c r="AJ30" s="9"/>
      <c r="AK30" s="8"/>
      <c r="AL30" s="61"/>
      <c r="AM30" s="62"/>
      <c r="AN30" s="62"/>
      <c r="AO30" s="62"/>
      <c r="AP30" s="62"/>
      <c r="AQ30" s="62"/>
      <c r="AR30" s="62"/>
      <c r="AS30" s="62"/>
      <c r="AT30" s="62"/>
      <c r="AU30" s="62"/>
      <c r="AV30" s="62"/>
      <c r="AW30" s="62"/>
      <c r="AX30" s="62"/>
      <c r="AY30" s="62"/>
      <c r="AZ30" s="63"/>
    </row>
    <row r="31" spans="1:52" ht="15" customHeight="1">
      <c r="A31" s="17"/>
      <c r="B31" s="10"/>
      <c r="C31" s="9"/>
      <c r="D31" s="9"/>
      <c r="E31" s="8"/>
      <c r="F31" s="3" t="str">
        <f>IF(COUNTIF(属性!$O$2,"*リ・チャレンジ*")=1,"〇","")</f>
        <v>〇</v>
      </c>
      <c r="G31" s="3"/>
      <c r="H31" s="21" t="s">
        <v>45</v>
      </c>
      <c r="I31" s="21"/>
      <c r="J31" s="21"/>
      <c r="K31" s="21"/>
      <c r="L31" s="21"/>
      <c r="M31" s="21"/>
      <c r="N31" s="21"/>
      <c r="O31" s="9"/>
      <c r="P31" s="9"/>
      <c r="Q31" s="9"/>
      <c r="R31" s="8"/>
      <c r="S31" s="26"/>
      <c r="T31" s="27"/>
      <c r="U31" s="27"/>
      <c r="V31" s="27"/>
      <c r="W31" s="27"/>
      <c r="X31" s="27"/>
      <c r="Y31" s="27"/>
      <c r="Z31" s="27"/>
      <c r="AA31" s="27"/>
      <c r="AB31" s="27"/>
      <c r="AC31" s="27"/>
      <c r="AD31" s="27"/>
      <c r="AE31" s="27"/>
      <c r="AF31" s="27"/>
      <c r="AG31" s="27"/>
      <c r="AH31" s="10"/>
      <c r="AI31" s="9"/>
      <c r="AJ31" s="9"/>
      <c r="AK31" s="8"/>
      <c r="AL31" s="61"/>
      <c r="AM31" s="62"/>
      <c r="AN31" s="62"/>
      <c r="AO31" s="62"/>
      <c r="AP31" s="62"/>
      <c r="AQ31" s="62"/>
      <c r="AR31" s="62"/>
      <c r="AS31" s="62"/>
      <c r="AT31" s="62"/>
      <c r="AU31" s="62"/>
      <c r="AV31" s="62"/>
      <c r="AW31" s="62"/>
      <c r="AX31" s="62"/>
      <c r="AY31" s="62"/>
      <c r="AZ31" s="63"/>
    </row>
    <row r="32" spans="1:52" ht="15" customHeight="1">
      <c r="A32" s="17"/>
      <c r="B32" s="10"/>
      <c r="C32" s="9"/>
      <c r="D32" s="9"/>
      <c r="E32" s="8"/>
      <c r="F32" s="3"/>
      <c r="G32" s="3"/>
      <c r="H32" s="21"/>
      <c r="I32" s="21"/>
      <c r="J32" s="21"/>
      <c r="K32" s="21"/>
      <c r="L32" s="21"/>
      <c r="M32" s="21"/>
      <c r="N32" s="21"/>
      <c r="O32" s="9"/>
      <c r="P32" s="9"/>
      <c r="Q32" s="9"/>
      <c r="R32" s="8"/>
      <c r="S32" s="26"/>
      <c r="T32" s="27"/>
      <c r="U32" s="27"/>
      <c r="V32" s="27"/>
      <c r="W32" s="27"/>
      <c r="X32" s="27"/>
      <c r="Y32" s="27"/>
      <c r="Z32" s="27"/>
      <c r="AA32" s="27"/>
      <c r="AB32" s="27"/>
      <c r="AC32" s="27"/>
      <c r="AD32" s="27"/>
      <c r="AE32" s="27"/>
      <c r="AF32" s="27"/>
      <c r="AG32" s="27"/>
      <c r="AH32" s="10"/>
      <c r="AI32" s="9"/>
      <c r="AJ32" s="9"/>
      <c r="AK32" s="8"/>
      <c r="AL32" s="61"/>
      <c r="AM32" s="62"/>
      <c r="AN32" s="62"/>
      <c r="AO32" s="62"/>
      <c r="AP32" s="62"/>
      <c r="AQ32" s="62"/>
      <c r="AR32" s="62"/>
      <c r="AS32" s="62"/>
      <c r="AT32" s="62"/>
      <c r="AU32" s="62"/>
      <c r="AV32" s="62"/>
      <c r="AW32" s="62"/>
      <c r="AX32" s="62"/>
      <c r="AY32" s="62"/>
      <c r="AZ32" s="63"/>
    </row>
    <row r="33" spans="2:52" ht="15" customHeight="1">
      <c r="B33" s="10"/>
      <c r="C33" s="9"/>
      <c r="D33" s="9"/>
      <c r="E33" s="8"/>
      <c r="F33" s="3" t="str">
        <f>IF(COUNTIF(属性!$O$2,"*ネットワーク*")=1,"〇","")</f>
        <v/>
      </c>
      <c r="G33" s="3"/>
      <c r="H33" s="21" t="s">
        <v>13</v>
      </c>
      <c r="I33" s="21"/>
      <c r="J33" s="21"/>
      <c r="K33" s="21"/>
      <c r="L33" s="21"/>
      <c r="M33" s="21"/>
      <c r="N33" s="21"/>
      <c r="O33" s="9"/>
      <c r="P33" s="9"/>
      <c r="Q33" s="9"/>
      <c r="R33" s="8"/>
      <c r="S33" s="26"/>
      <c r="T33" s="27"/>
      <c r="U33" s="27"/>
      <c r="V33" s="27"/>
      <c r="W33" s="27"/>
      <c r="X33" s="27"/>
      <c r="Y33" s="27"/>
      <c r="Z33" s="27"/>
      <c r="AA33" s="27"/>
      <c r="AB33" s="27"/>
      <c r="AC33" s="27"/>
      <c r="AD33" s="27"/>
      <c r="AE33" s="27"/>
      <c r="AF33" s="27"/>
      <c r="AG33" s="27"/>
      <c r="AH33" s="10"/>
      <c r="AI33" s="9"/>
      <c r="AJ33" s="9"/>
      <c r="AK33" s="8"/>
      <c r="AL33" s="61"/>
      <c r="AM33" s="62"/>
      <c r="AN33" s="62"/>
      <c r="AO33" s="62"/>
      <c r="AP33" s="62"/>
      <c r="AQ33" s="62"/>
      <c r="AR33" s="62"/>
      <c r="AS33" s="62"/>
      <c r="AT33" s="62"/>
      <c r="AU33" s="62"/>
      <c r="AV33" s="62"/>
      <c r="AW33" s="62"/>
      <c r="AX33" s="62"/>
      <c r="AY33" s="62"/>
      <c r="AZ33" s="63"/>
    </row>
    <row r="34" spans="2:52" ht="15" customHeight="1">
      <c r="B34" s="10"/>
      <c r="C34" s="9"/>
      <c r="D34" s="9"/>
      <c r="E34" s="8"/>
      <c r="F34" s="3"/>
      <c r="G34" s="3"/>
      <c r="H34" s="21"/>
      <c r="I34" s="21"/>
      <c r="J34" s="21"/>
      <c r="K34" s="21"/>
      <c r="L34" s="21"/>
      <c r="M34" s="21"/>
      <c r="N34" s="21"/>
      <c r="O34" s="9"/>
      <c r="P34" s="9"/>
      <c r="Q34" s="9"/>
      <c r="R34" s="8"/>
      <c r="S34" s="26"/>
      <c r="T34" s="27"/>
      <c r="U34" s="27"/>
      <c r="V34" s="27"/>
      <c r="W34" s="27"/>
      <c r="X34" s="27"/>
      <c r="Y34" s="27"/>
      <c r="Z34" s="27"/>
      <c r="AA34" s="27"/>
      <c r="AB34" s="27"/>
      <c r="AC34" s="27"/>
      <c r="AD34" s="27"/>
      <c r="AE34" s="27"/>
      <c r="AF34" s="27"/>
      <c r="AG34" s="27"/>
      <c r="AH34" s="10"/>
      <c r="AI34" s="9"/>
      <c r="AJ34" s="9"/>
      <c r="AK34" s="8"/>
      <c r="AL34" s="61"/>
      <c r="AM34" s="62"/>
      <c r="AN34" s="62"/>
      <c r="AO34" s="62"/>
      <c r="AP34" s="62"/>
      <c r="AQ34" s="62"/>
      <c r="AR34" s="62"/>
      <c r="AS34" s="62"/>
      <c r="AT34" s="62"/>
      <c r="AU34" s="62"/>
      <c r="AV34" s="62"/>
      <c r="AW34" s="62"/>
      <c r="AX34" s="62"/>
      <c r="AY34" s="62"/>
      <c r="AZ34" s="63"/>
    </row>
    <row r="35" spans="2:52" ht="15" customHeight="1">
      <c r="B35" s="10"/>
      <c r="C35" s="9"/>
      <c r="D35" s="9"/>
      <c r="E35" s="8"/>
      <c r="F35" s="3" t="str">
        <f>IF(COUNTIF(属性!$O$2,"*成長*")=1,"〇","")</f>
        <v>〇</v>
      </c>
      <c r="G35" s="3"/>
      <c r="H35" s="21" t="s">
        <v>14</v>
      </c>
      <c r="I35" s="21"/>
      <c r="J35" s="21"/>
      <c r="K35" s="21"/>
      <c r="L35" s="21"/>
      <c r="M35" s="21"/>
      <c r="N35" s="21"/>
      <c r="O35" s="9"/>
      <c r="P35" s="9"/>
      <c r="Q35" s="9"/>
      <c r="R35" s="8"/>
      <c r="S35" s="26"/>
      <c r="T35" s="27"/>
      <c r="U35" s="27"/>
      <c r="V35" s="27"/>
      <c r="W35" s="27"/>
      <c r="X35" s="27"/>
      <c r="Y35" s="27"/>
      <c r="Z35" s="27"/>
      <c r="AA35" s="27"/>
      <c r="AB35" s="27"/>
      <c r="AC35" s="27"/>
      <c r="AD35" s="27"/>
      <c r="AE35" s="27"/>
      <c r="AF35" s="27"/>
      <c r="AG35" s="27"/>
      <c r="AH35" s="10"/>
      <c r="AI35" s="9"/>
      <c r="AJ35" s="9"/>
      <c r="AK35" s="8"/>
      <c r="AL35" s="61"/>
      <c r="AM35" s="62"/>
      <c r="AN35" s="62"/>
      <c r="AO35" s="62"/>
      <c r="AP35" s="62"/>
      <c r="AQ35" s="62"/>
      <c r="AR35" s="62"/>
      <c r="AS35" s="62"/>
      <c r="AT35" s="62"/>
      <c r="AU35" s="62"/>
      <c r="AV35" s="62"/>
      <c r="AW35" s="62"/>
      <c r="AX35" s="62"/>
      <c r="AY35" s="62"/>
      <c r="AZ35" s="63"/>
    </row>
    <row r="36" spans="2:52" ht="15" customHeight="1">
      <c r="B36" s="7"/>
      <c r="C36" s="6"/>
      <c r="D36" s="6"/>
      <c r="E36" s="5"/>
      <c r="F36" s="2"/>
      <c r="G36" s="2"/>
      <c r="H36" s="23"/>
      <c r="I36" s="23"/>
      <c r="J36" s="23"/>
      <c r="K36" s="23"/>
      <c r="L36" s="23"/>
      <c r="M36" s="23"/>
      <c r="N36" s="23"/>
      <c r="O36" s="6"/>
      <c r="P36" s="6"/>
      <c r="Q36" s="6"/>
      <c r="R36" s="5"/>
      <c r="S36" s="28"/>
      <c r="T36" s="29"/>
      <c r="U36" s="29"/>
      <c r="V36" s="29"/>
      <c r="W36" s="29"/>
      <c r="X36" s="29"/>
      <c r="Y36" s="29"/>
      <c r="Z36" s="29"/>
      <c r="AA36" s="29"/>
      <c r="AB36" s="29"/>
      <c r="AC36" s="29"/>
      <c r="AD36" s="29"/>
      <c r="AE36" s="29"/>
      <c r="AF36" s="29"/>
      <c r="AG36" s="29"/>
      <c r="AH36" s="7"/>
      <c r="AI36" s="6"/>
      <c r="AJ36" s="6"/>
      <c r="AK36" s="5"/>
      <c r="AL36" s="64"/>
      <c r="AM36" s="65"/>
      <c r="AN36" s="65"/>
      <c r="AO36" s="65"/>
      <c r="AP36" s="65"/>
      <c r="AQ36" s="65"/>
      <c r="AR36" s="65"/>
      <c r="AS36" s="65"/>
      <c r="AT36" s="65"/>
      <c r="AU36" s="65"/>
      <c r="AV36" s="65"/>
      <c r="AW36" s="65"/>
      <c r="AX36" s="65"/>
      <c r="AY36" s="65"/>
      <c r="AZ36" s="66"/>
    </row>
    <row r="37" spans="2:52" ht="15" customHeight="1">
      <c r="B37" s="14"/>
      <c r="C37" s="14"/>
      <c r="D37" s="14"/>
      <c r="E37" s="14"/>
      <c r="F37" s="14"/>
      <c r="G37" s="14"/>
      <c r="H37" s="14"/>
      <c r="I37" s="14"/>
      <c r="J37" s="14"/>
      <c r="K37" s="14"/>
      <c r="L37" s="14"/>
      <c r="M37" s="14"/>
      <c r="N37" s="14"/>
      <c r="O37" s="14"/>
      <c r="P37" s="14"/>
      <c r="Q37" s="14"/>
      <c r="R37" s="14"/>
      <c r="S37" s="14"/>
      <c r="T37" s="14"/>
      <c r="U37" s="14"/>
      <c r="V37" s="14"/>
      <c r="W37" s="14"/>
      <c r="X37" s="14"/>
      <c r="Y37" s="14"/>
      <c r="Z37" s="14"/>
      <c r="AA37" s="14"/>
      <c r="AB37" s="14"/>
      <c r="AC37" s="14"/>
      <c r="AD37" s="14"/>
      <c r="AE37" s="14"/>
      <c r="AF37" s="14"/>
      <c r="AG37" s="14"/>
      <c r="AH37" s="14"/>
      <c r="AI37" s="14"/>
      <c r="AJ37" s="14"/>
      <c r="AK37" s="14"/>
      <c r="AL37" s="14"/>
      <c r="AM37" s="14"/>
      <c r="AN37" s="14"/>
      <c r="AO37" s="14"/>
      <c r="AP37" s="14"/>
      <c r="AQ37" s="14"/>
      <c r="AR37" s="14"/>
      <c r="AS37" s="14"/>
      <c r="AT37" s="14"/>
      <c r="AU37" s="14"/>
      <c r="AV37" s="14"/>
      <c r="AW37" s="14"/>
      <c r="AX37" s="14"/>
      <c r="AY37" s="14"/>
      <c r="AZ37" s="14"/>
    </row>
  </sheetData>
  <mergeCells count="47">
    <mergeCell ref="B6:H7"/>
    <mergeCell ref="AX4:AY4"/>
    <mergeCell ref="A1:AZ2"/>
    <mergeCell ref="AA4:AL4"/>
    <mergeCell ref="AA3:AL3"/>
    <mergeCell ref="E4:W4"/>
    <mergeCell ref="E3:W3"/>
    <mergeCell ref="AM3:AO3"/>
    <mergeCell ref="B3:D3"/>
    <mergeCell ref="B4:D4"/>
    <mergeCell ref="X3:Z3"/>
    <mergeCell ref="X4:Z4"/>
    <mergeCell ref="AM4:AO4"/>
    <mergeCell ref="AP3:AZ3"/>
    <mergeCell ref="AP4:AW4"/>
    <mergeCell ref="B8:H13"/>
    <mergeCell ref="B14:E25"/>
    <mergeCell ref="F20:H25"/>
    <mergeCell ref="AM20:AZ25"/>
    <mergeCell ref="X20:AL25"/>
    <mergeCell ref="I20:W25"/>
    <mergeCell ref="AM14:AZ19"/>
    <mergeCell ref="X14:AL19"/>
    <mergeCell ref="X8:AL13"/>
    <mergeCell ref="I14:W19"/>
    <mergeCell ref="F14:H19"/>
    <mergeCell ref="X6:AL7"/>
    <mergeCell ref="AM8:AZ13"/>
    <mergeCell ref="AM6:AZ7"/>
    <mergeCell ref="I6:W7"/>
    <mergeCell ref="I8:W13"/>
    <mergeCell ref="B37:AZ37"/>
    <mergeCell ref="B27:E36"/>
    <mergeCell ref="F27:G28"/>
    <mergeCell ref="F29:G30"/>
    <mergeCell ref="F31:G32"/>
    <mergeCell ref="F33:G34"/>
    <mergeCell ref="F35:G36"/>
    <mergeCell ref="H27:N28"/>
    <mergeCell ref="H29:N30"/>
    <mergeCell ref="H31:N32"/>
    <mergeCell ref="H33:N34"/>
    <mergeCell ref="H35:N36"/>
    <mergeCell ref="O27:R36"/>
    <mergeCell ref="S27:AG36"/>
    <mergeCell ref="AH27:AK36"/>
    <mergeCell ref="AL27:AZ36"/>
  </mergeCells>
  <phoneticPr fontId="13"/>
  <dataValidations count="1">
    <dataValidation type="textLength" allowBlank="1" showInputMessage="1" showErrorMessage="1" error="100文字を超えています" sqref="I8:AL13" xr:uid="{00000000-0002-0000-0000-000000000000}">
      <formula1>0</formula1>
      <formula2>100</formula2>
    </dataValidation>
  </dataValidations>
  <printOptions horizontalCentered="1" verticalCentered="1"/>
  <pageMargins left="0.118110236220472" right="0.118110236220472" top="0.15748031496063" bottom="0.15748031496063" header="0.31496062992126" footer="0.31496062992126"/>
  <pageSetup paperSize="9" orientation="landscape" r:id="rId1"/>
  <headerFooter>
    <oddHeader>&amp;R（様式第３号）</oddHead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G2"/>
  <sheetViews>
    <sheetView workbookViewId="0">
      <selection activeCell="G2" sqref="A2:G2"/>
    </sheetView>
  </sheetViews>
  <sheetFormatPr defaultColWidth="20.58203125" defaultRowHeight="18"/>
  <sheetData>
    <row r="1" spans="1:7">
      <c r="A1" s="19" t="s">
        <v>20</v>
      </c>
      <c r="B1" s="19" t="s">
        <v>21</v>
      </c>
      <c r="C1" s="19" t="s">
        <v>22</v>
      </c>
      <c r="D1" s="19" t="s">
        <v>23</v>
      </c>
      <c r="E1" s="19" t="s">
        <v>24</v>
      </c>
      <c r="F1" s="19" t="s">
        <v>25</v>
      </c>
      <c r="G1" s="19" t="s">
        <v>26</v>
      </c>
    </row>
    <row r="2" spans="1:7">
      <c r="A2" s="20" t="s">
        <v>46</v>
      </c>
      <c r="B2" s="20" t="s">
        <v>47</v>
      </c>
      <c r="C2" s="20" t="s">
        <v>48</v>
      </c>
      <c r="D2" s="20" t="s">
        <v>49</v>
      </c>
      <c r="E2" s="20" t="s">
        <v>50</v>
      </c>
      <c r="F2" s="20" t="s">
        <v>51</v>
      </c>
      <c r="G2" s="20" t="s">
        <v>52</v>
      </c>
    </row>
  </sheetData>
  <phoneticPr fontId="13"/>
  <pageMargins left="0.75" right="0.75" top="1" bottom="1" header="0.5" footer="0.5"/>
  <pageSetup orientation="portrait" horizontalDpi="300" verticalDpi="30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Q2"/>
  <sheetViews>
    <sheetView topLeftCell="L1" workbookViewId="0">
      <selection activeCell="Q2" sqref="A2:Q2"/>
    </sheetView>
  </sheetViews>
  <sheetFormatPr defaultColWidth="20.58203125" defaultRowHeight="18"/>
  <sheetData>
    <row r="1" spans="1:17">
      <c r="A1" s="19" t="s">
        <v>27</v>
      </c>
      <c r="B1" s="19" t="s">
        <v>27</v>
      </c>
      <c r="C1" s="19" t="s">
        <v>27</v>
      </c>
      <c r="D1" s="19" t="s">
        <v>27</v>
      </c>
      <c r="E1" s="19" t="s">
        <v>31</v>
      </c>
      <c r="F1" s="19" t="s">
        <v>32</v>
      </c>
      <c r="G1" s="19" t="s">
        <v>33</v>
      </c>
      <c r="H1" s="19" t="s">
        <v>34</v>
      </c>
      <c r="I1" s="19" t="s">
        <v>35</v>
      </c>
      <c r="J1" s="19" t="s">
        <v>36</v>
      </c>
      <c r="K1" s="19" t="s">
        <v>37</v>
      </c>
      <c r="L1" s="19" t="s">
        <v>38</v>
      </c>
      <c r="M1" s="19" t="s">
        <v>39</v>
      </c>
      <c r="N1" s="19" t="s">
        <v>40</v>
      </c>
      <c r="O1" s="19" t="s">
        <v>41</v>
      </c>
      <c r="P1" s="19" t="s">
        <v>42</v>
      </c>
      <c r="Q1" s="19" t="s">
        <v>43</v>
      </c>
    </row>
    <row r="2" spans="1:17">
      <c r="A2" s="20"/>
      <c r="B2" s="20"/>
      <c r="C2" s="20"/>
      <c r="D2" s="20"/>
      <c r="E2" s="20" t="s">
        <v>30</v>
      </c>
      <c r="F2" s="20" t="s">
        <v>29</v>
      </c>
      <c r="G2" s="20" t="s">
        <v>28</v>
      </c>
      <c r="H2" s="20"/>
      <c r="I2" s="20" t="s">
        <v>53</v>
      </c>
      <c r="J2" s="20" t="s">
        <v>54</v>
      </c>
      <c r="K2" s="20"/>
      <c r="L2" s="20" t="s">
        <v>55</v>
      </c>
      <c r="M2" s="20" t="s">
        <v>56</v>
      </c>
      <c r="N2" s="20"/>
      <c r="O2" s="20" t="s">
        <v>57</v>
      </c>
      <c r="P2" s="20" t="s">
        <v>58</v>
      </c>
      <c r="Q2" s="20" t="s">
        <v>59</v>
      </c>
    </row>
  </sheetData>
  <phoneticPr fontId="13"/>
  <pageMargins left="0.75" right="0.75" top="1" bottom="1" header="0.5" footer="0.5"/>
  <pageSetup orientation="portrait" horizontalDpi="300" verticalDpi="30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heetViews>
  <sheetFormatPr defaultColWidth="20.58203125" defaultRowHeight="18"/>
  <sheetData/>
  <phoneticPr fontId="13"/>
  <pageMargins left="0.75" right="0.75" top="1" bottom="1" header="0.5" footer="0.5"/>
  <pageSetup orientation="portrait" horizontalDpi="300" verticalDpi="300"/>
</worksheet>
</file>

<file path=docProps/app.xml><?xml version="1.0" encoding="utf-8"?>
<Properties xmlns="http://schemas.openxmlformats.org/officeDocument/2006/extended-properties" xmlns:vt="http://schemas.openxmlformats.org/officeDocument/2006/docPropsVTypes">
  <Template/>
  <Application>Microsoft Excel</Application>
  <DocSecurity>0</DocSecurity>
  <ScaleCrop>false</ScaleCrop>
  <HeadingPairs>
    <vt:vector size="4" baseType="variant">
      <vt:variant>
        <vt:lpstr>ワークシート</vt:lpstr>
      </vt:variant>
      <vt:variant>
        <vt:i4>4</vt:i4>
      </vt:variant>
      <vt:variant>
        <vt:lpstr>名前付き一覧</vt:lpstr>
      </vt:variant>
      <vt:variant>
        <vt:i4>1</vt:i4>
      </vt:variant>
    </vt:vector>
  </HeadingPairs>
  <TitlesOfParts>
    <vt:vector size="5" baseType="lpstr">
      <vt:lpstr>ＷＡＹ面談シート</vt:lpstr>
      <vt:lpstr>メンバ属性</vt:lpstr>
      <vt:lpstr>属性</vt:lpstr>
      <vt:lpstr>Sheet4</vt:lpstr>
      <vt:lpstr>ＷＡＹ面談シート!Print_Area</vt:lpstr>
    </vt:vector>
  </TitlesOfParts>
  <Manager/>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2015-06-05T18:19:34Z</dcterms:created>
  <dcterms:modified xsi:type="dcterms:W3CDTF">2026-02-20T01:39:36Z</dcterms:modified>
  <cp:category/>
  <cp:contentStatus/>
</cp:coreProperties>
</file>